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filterPrivacy="1"/>
  <xr:revisionPtr revIDLastSave="0" documentId="11_043CF576C06DBA89714CD768DBDE48D32B30913F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Data" sheetId="1" r:id="rId1"/>
    <sheet name="Success Report" sheetId="2" r:id="rId2"/>
    <sheet name="Expor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3" l="1"/>
  <c r="L21" i="3"/>
  <c r="K21" i="3"/>
  <c r="J21" i="3"/>
  <c r="I21" i="3"/>
  <c r="H21" i="3"/>
  <c r="G21" i="3"/>
  <c r="F21" i="3"/>
  <c r="E21" i="3"/>
  <c r="D21" i="3"/>
  <c r="C21" i="3"/>
  <c r="B21" i="3"/>
  <c r="A21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M9" i="3"/>
  <c r="L9" i="3"/>
  <c r="K9" i="3"/>
  <c r="J9" i="3"/>
  <c r="I9" i="3"/>
  <c r="H9" i="3"/>
  <c r="G9" i="3"/>
  <c r="F9" i="3"/>
  <c r="E9" i="3"/>
  <c r="D9" i="3"/>
  <c r="C9" i="3"/>
  <c r="B9" i="3"/>
  <c r="A9" i="3"/>
  <c r="M8" i="3"/>
  <c r="L8" i="3"/>
  <c r="K8" i="3"/>
  <c r="J8" i="3"/>
  <c r="I8" i="3"/>
  <c r="H8" i="3"/>
  <c r="G8" i="3"/>
  <c r="F8" i="3"/>
  <c r="E8" i="3"/>
  <c r="D8" i="3"/>
  <c r="C8" i="3"/>
  <c r="B8" i="3"/>
  <c r="A8" i="3"/>
  <c r="M7" i="3"/>
  <c r="L7" i="3"/>
  <c r="K7" i="3"/>
  <c r="J7" i="3"/>
  <c r="I7" i="3"/>
  <c r="H7" i="3"/>
  <c r="G7" i="3"/>
  <c r="F7" i="3"/>
  <c r="E7" i="3"/>
  <c r="D7" i="3"/>
  <c r="C7" i="3"/>
  <c r="B7" i="3"/>
  <c r="A7" i="3"/>
  <c r="M6" i="3"/>
  <c r="L6" i="3"/>
  <c r="K6" i="3"/>
  <c r="J6" i="3"/>
  <c r="I6" i="3"/>
  <c r="H6" i="3"/>
  <c r="G6" i="3"/>
  <c r="F6" i="3"/>
  <c r="E6" i="3"/>
  <c r="D6" i="3"/>
  <c r="C6" i="3"/>
  <c r="B6" i="3"/>
  <c r="A6" i="3"/>
  <c r="M5" i="3"/>
  <c r="L5" i="3"/>
  <c r="K5" i="3"/>
  <c r="J5" i="3"/>
  <c r="I5" i="3"/>
  <c r="H5" i="3"/>
  <c r="G5" i="3"/>
  <c r="F5" i="3"/>
  <c r="E5" i="3"/>
  <c r="D5" i="3"/>
  <c r="C5" i="3"/>
  <c r="B5" i="3"/>
  <c r="A5" i="3"/>
  <c r="M4" i="3"/>
  <c r="L4" i="3"/>
  <c r="K4" i="3"/>
  <c r="J4" i="3"/>
  <c r="I4" i="3"/>
  <c r="H4" i="3"/>
  <c r="G4" i="3"/>
  <c r="F4" i="3"/>
  <c r="E4" i="3"/>
  <c r="D4" i="3"/>
  <c r="C4" i="3"/>
  <c r="B4" i="3"/>
  <c r="A4" i="3"/>
  <c r="M3" i="3"/>
  <c r="L3" i="3"/>
  <c r="K3" i="3"/>
  <c r="J3" i="3"/>
  <c r="I3" i="3"/>
  <c r="H3" i="3"/>
  <c r="G3" i="3"/>
  <c r="F3" i="3"/>
  <c r="E3" i="3"/>
  <c r="D3" i="3"/>
  <c r="C3" i="3"/>
  <c r="B3" i="3"/>
  <c r="A3" i="3"/>
  <c r="M2" i="3"/>
  <c r="L2" i="3"/>
  <c r="K2" i="3"/>
  <c r="J2" i="3"/>
  <c r="I2" i="3"/>
  <c r="H2" i="3"/>
  <c r="G2" i="3"/>
  <c r="F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<sst xmlns="http://schemas.openxmlformats.org/spreadsheetml/2006/main" count="184" uniqueCount="88">
  <si>
    <t>SEARCHED</t>
  </si>
  <si>
    <t>SUMMARY</t>
  </si>
  <si>
    <t>COMPARE</t>
  </si>
  <si>
    <t>IMPORTED</t>
  </si>
  <si>
    <t>PUBCHEM</t>
  </si>
  <si>
    <t>SDS SHEET</t>
  </si>
  <si>
    <t>HAZARDS</t>
  </si>
  <si>
    <t>PICTOGRAMS</t>
  </si>
  <si>
    <t>MISC 1</t>
  </si>
  <si>
    <t>MISC 2</t>
  </si>
  <si>
    <t>Barium nitrate</t>
  </si>
  <si>
    <t>STATUS CODE:</t>
  </si>
  <si>
    <t>✅✅ Extremely Confident</t>
  </si>
  <si>
    <t xml:space="preserve">NAME: </t>
  </si>
  <si>
    <t>BARIUM NITRATE</t>
  </si>
  <si>
    <t xml:space="preserve">May intensify fire; oxidizer 
Toxic if swallowed 
Causes serious eye irritation </t>
  </si>
  <si>
    <t>Oxidizer
Acute Toxic
Irritant
Health Hazard</t>
  </si>
  <si>
    <t>CLASS:</t>
  </si>
  <si>
    <t>Inorganic salt</t>
  </si>
  <si>
    <t>RECEIVED DATE</t>
  </si>
  <si>
    <t>No date</t>
  </si>
  <si>
    <t>CONFIDENCE SCORE:</t>
  </si>
  <si>
    <t>CAS NO.:</t>
  </si>
  <si>
    <t>10022-31-8</t>
  </si>
  <si>
    <t>SUPPLIER:</t>
  </si>
  <si>
    <t>EM Science</t>
  </si>
  <si>
    <t xml:space="preserve">SDS LINK: </t>
  </si>
  <si>
    <t>Click for SDS.</t>
  </si>
  <si>
    <t>CONF. SCORE INFO:</t>
  </si>
  <si>
    <t>Molecular Formulas (normalized) do not match
SDS: BAN2O6
PubChem: BA(NO3)2
Penalty: -10</t>
  </si>
  <si>
    <t>SYNONYMS:</t>
  </si>
  <si>
    <t/>
  </si>
  <si>
    <t>Nitrobarite
Nitric acid, barium salt
Barium dinitrate
Nitrate de baryum
Nitrato barico</t>
  </si>
  <si>
    <t>Barium dinitrate; Nitric acid
barium salt.</t>
  </si>
  <si>
    <t>QUANTITY:</t>
  </si>
  <si>
    <t>STORAGE NOTES:</t>
  </si>
  <si>
    <t>Keep containers tightly closed in a dry, cool and well-ventilated place. Do not store near combustible materials. Incompatible Materials. Organic materials. Acids. Bases. Acid anhydrides. Metals. Reducing Agent. Strong reducing agents. Combustible material.</t>
  </si>
  <si>
    <t>FORMULA:</t>
  </si>
  <si>
    <t>Ba(NO3)2</t>
  </si>
  <si>
    <t>BaN2O6</t>
  </si>
  <si>
    <t>H272 (68.7%): May intensify fire; oxidizer [Danger Oxidizing liquids; Oxidizing solids]
H301 (12.2%): Toxic if swallowed [Danger Acute toxicity, oral]
H302 (86.6%): Harmful if swallowed [Warning Acute toxicity, oral]
H319 (24.8%): Causes serious eye irritation [Warning Serious eye damage/eye irritation]
H332 (98.8%): Harmful if inhaled [Warning Acute toxicity, inhalation]
H335: May cause respiratory irritation [Warning Specific target organ toxicity, single exposure; Respiratory tract irritation]
H336: May cause drowsiness or dizziness [Warning Specific target organ toxicity, single exposure; Narcotic effects]
H370: Causes damage to organs [Danger Specific target organ toxicity, single exposure]
H371: May cause damage to organs [Warning Specific target organ toxicity, single exposure]
H372: Causes damage to organs through prolonged or repeated exposure [Danger Specific target organ toxicity, repeated exposure]
H316: Causes mild skin irritation [Warning Skin corrosion/irritation]</t>
  </si>
  <si>
    <t>OX
AC
IR
CA</t>
  </si>
  <si>
    <t>UNITS:</t>
  </si>
  <si>
    <t>g</t>
  </si>
  <si>
    <t>MW:</t>
  </si>
  <si>
    <t>261.34</t>
  </si>
  <si>
    <t>LOCATION:</t>
  </si>
  <si>
    <t>6-144</t>
  </si>
  <si>
    <t>ERRORS:</t>
  </si>
  <si>
    <t>SIGNAL WORD:</t>
  </si>
  <si>
    <t>Danger</t>
  </si>
  <si>
    <t>CABINET:</t>
  </si>
  <si>
    <t>A-1</t>
  </si>
  <si>
    <t>1-napthol</t>
  </si>
  <si>
    <t>1-NAPHTHOL</t>
  </si>
  <si>
    <t>1-Naphthol</t>
  </si>
  <si>
    <t>Causes skin irritation 
Causes serious eye damage 
May cause respiratory irritation 
Harmful if swallowed or in contact with skin</t>
  </si>
  <si>
    <t>Corrosive
Irritant
Acute Toxic
Environmental Hazard
Health Hazard</t>
  </si>
  <si>
    <t>Organic compound</t>
  </si>
  <si>
    <t>90-15-3</t>
  </si>
  <si>
    <t>90-15-3
1321-67-1</t>
  </si>
  <si>
    <t>Acros</t>
  </si>
  <si>
    <t>naphthalen-1-ol
1-Naphthalenol
alpha-naphthol
1-Hydroxynaphthalene
Furro ER</t>
  </si>
  <si>
    <t>1-Hydroxynaphthalene</t>
  </si>
  <si>
    <t>Keep in a dry, cool and well-ventilated place. Protect from direct sunlight. Incompatible Materials. Strong oxidizing agents. Strong bases. Halogens. Acid anhydrides. Acid chlorides.</t>
  </si>
  <si>
    <t>C10H8O</t>
  </si>
  <si>
    <t>H302: Harmful if swallowed [Warning Acute toxicity, oral]
H312: Harmful in contact with skin [Warning Acute toxicity, dermal]
H315: Causes skin irritation [Warning Skin corrosion/irritation]
H318: Causes serious eye damage [Danger Serious eye damage/eye irritation]
H335: May cause respiratory irritation [Warning Specific target organ toxicity, single exposure; Respiratory tract irritation]
H311 (31.8%): Toxic in contact with skin [Danger Acute toxicity, dermal]
H317 (25%): May cause an allergic skin reaction [Warning Sensitization, Skin]
H400 (24.7%): Very toxic to aquatic life [Warning Hazardous to the aquatic environment, acute hazard]
H410 (18%): Very toxic to aquatic life with long lasting effects [Warning Hazardous to the aquatic environment, long-term hazard]
H412 (23.6%): Harmful to aquatic life with long lasting effects [Hazardous to the aquatic environment, long-term hazard]
H314: Causes severe skin burns and eye damage [Danger Skin corrosion/irritation]
H371: May cause damage to organs [Warning Specific target organ toxicity, single exposure]
H411: Toxic to aquatic life with long lasting effects [Hazardous to the aquatic environment, long-term hazard]</t>
  </si>
  <si>
    <t>CO
IR
AC
EN
CA</t>
  </si>
  <si>
    <t>144.17</t>
  </si>
  <si>
    <t>B- 5</t>
  </si>
  <si>
    <t>acetone</t>
  </si>
  <si>
    <t>Acetone</t>
  </si>
  <si>
    <t>Causes serious eye irritation 
May cause drowsiness or dizziness  Serious Eye Damage/Eye Irritation 
May cause damage to organs through prolonged or repeated exposure</t>
  </si>
  <si>
    <t>Flammable
Irritant
Health Hazard</t>
  </si>
  <si>
    <t>Solvent</t>
  </si>
  <si>
    <t>67-64-1</t>
  </si>
  <si>
    <t>Brand Nu</t>
  </si>
  <si>
    <t>2-propanone
propanone
Dimethyl ketone
propan-2-one
Methyl ketone</t>
  </si>
  <si>
    <t>2-Propanone</t>
  </si>
  <si>
    <t>Flammables area. Keep containers tightly closed in a dry, cool and well-ventilated place. Keep away from heat, sparks and flame. Incompatible Materials. Strong oxidizing agents. Strong reducing agents. Strong bases. Peroxides. Halogenated compounds. Alkali metals. Amines.</t>
  </si>
  <si>
    <t>C3H6O</t>
  </si>
  <si>
    <t>H225: Highly Flammable liquid and vapor [Danger Flammable liquids]
H319: Causes serious eye irritation [Warning Serious eye damage/eye irritation]
H336: May cause drowsiness or dizziness [Warning Specific target organ toxicity, single exposure; Narcotic effects]
H305: May be harmful if swallowed and enters airways [Warning Aspiration hazard]
H320: Causes eye irritation [Warning Serious eye damage/eye irritation]
H335: May cause respiratory irritation [Warning Specific target organ toxicity, single exposure; Respiratory tract irritation]
H361: Suspected of damaging fertility or the unborn child [Warning Reproductive toxicity]
H373: May causes damage to organs through prolonged or repeated exposure [Warning Specific target organ toxicity, repeated exposure]
H372: Causes damage to organs through prolonged or repeated exposure [Danger Specific target organ toxicity, repeated exposure]</t>
  </si>
  <si>
    <t>FL
IR
CA</t>
  </si>
  <si>
    <t>L</t>
  </si>
  <si>
    <t>58.08</t>
  </si>
  <si>
    <t>6-147</t>
  </si>
  <si>
    <t>Flamm. Cab. (S3)</t>
  </si>
  <si>
    <r>
      <rPr>
        <b/>
        <u/>
        <sz val="11"/>
        <rFont val="Calibri"/>
      </rPr>
      <t xml:space="preserve">Summary and Success Report
</t>
    </r>
    <r>
      <rPr>
        <sz val="11"/>
        <color theme="1"/>
        <rFont val="Calibri"/>
        <family val="2"/>
        <scheme val="minor"/>
      </rPr>
      <t xml:space="preserve">Total Chemicals ran:
</t>
    </r>
    <r>
      <rPr>
        <b/>
        <u/>
        <sz val="11"/>
        <rFont val="Calibri"/>
      </rPr>
      <t>3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Successful SDS Sheets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3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100</t>
    </r>
    <r>
      <rPr>
        <b/>
        <u/>
        <sz val="11"/>
        <rFont val="Calibri"/>
      </rPr>
      <t>%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SDS Sheets that need review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0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0</t>
    </r>
    <r>
      <rPr>
        <b/>
        <u/>
        <sz val="11"/>
        <rFont val="Calibri"/>
      </rPr>
      <t>%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Failed SDS Sheets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0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0</t>
    </r>
    <r>
      <rPr>
        <b/>
        <u/>
        <sz val="11"/>
        <rFont val="Calibri"/>
      </rPr>
      <t>%</t>
    </r>
    <r>
      <rPr>
        <sz val="11"/>
        <color theme="1"/>
        <rFont val="Calibri"/>
        <family val="2"/>
        <scheme val="minor"/>
      </rPr>
      <t xml:space="preserve">
_______________________________
</t>
    </r>
    <r>
      <rPr>
        <sz val="11"/>
        <color theme="1"/>
        <rFont val="Calibri"/>
        <family val="2"/>
        <scheme val="minor"/>
      </rPr>
      <t>Errors encountered</t>
    </r>
    <r>
      <rPr>
        <b/>
        <u/>
        <sz val="11"/>
        <rFont val="Calibri"/>
      </rPr>
      <t xml:space="preserve">
Total: </t>
    </r>
    <r>
      <rPr>
        <b/>
        <u/>
        <sz val="11"/>
        <rFont val="Calibri"/>
      </rPr>
      <t>0</t>
    </r>
    <r>
      <rPr>
        <b/>
        <u/>
        <sz val="11"/>
        <rFont val="Calibri"/>
      </rPr>
      <t xml:space="preserve">
Percentage: </t>
    </r>
    <r>
      <rPr>
        <b/>
        <u/>
        <sz val="11"/>
        <rFont val="Calibri"/>
      </rPr>
      <t>0</t>
    </r>
    <r>
      <rPr>
        <b/>
        <u/>
        <sz val="11"/>
        <rFont val="Calibri"/>
      </rPr>
      <t>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</si>
</sst>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color rgb="FFDDDDDD"/>
      <name val="Calibri"/>
    </font>
    <font>
      <b/>
      <sz val="11"/>
      <color rgb="FFDDDDDD"/>
      <name val="Calibri"/>
    </font>
    <font>
      <u/>
      <sz val="11"/>
      <color rgb="FF0000FF"/>
      <name val="Calibri"/>
    </font>
    <font>
      <b/>
      <u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28E482"/>
      </patternFill>
    </fill>
    <fill>
      <patternFill patternType="solid">
        <fgColor rgb="FF686B69"/>
      </patternFill>
    </fill>
    <fill>
      <patternFill patternType="solid">
        <fgColor rgb="FFBFD1D6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14" fontId="0" fillId="3" borderId="1" xfId="0" applyNumberForma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wrapText="1"/>
    </xf>
    <xf numFmtId="0" fontId="2" fillId="4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ishersci.com/store/msds?partNumber=AA30698AP&amp;productDescription=acetone-acs-ml&amp;vendorId=VN00024248&amp;keyword=true&amp;countryCode=US&amp;language=en" TargetMode="External"/><Relationship Id="rId2" Type="http://schemas.openxmlformats.org/officeDocument/2006/relationships/hyperlink" Target="https://www.fishersci.com/store/msds?partNumber=AAA118620E&amp;productDescription=naphthol-g&amp;vendorId=VN00024248&amp;keyword=true&amp;countryCode=US&amp;language=en" TargetMode="External"/><Relationship Id="rId1" Type="http://schemas.openxmlformats.org/officeDocument/2006/relationships/hyperlink" Target="https://www.fishersci.com/store/msds?partNumber=AC192555000&amp;productDescription=barium-nitrate-acs-reag-kg&amp;vendorId=VN00032119&amp;keyword=true&amp;countryCode=US&amp;language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workbookViewId="0">
      <pane xSplit="1" ySplit="1" topLeftCell="B9" activePane="bottomRight" state="frozen"/>
      <selection pane="topRight"/>
      <selection pane="bottomLeft"/>
      <selection pane="bottomRight" activeCell="D18" sqref="D18"/>
    </sheetView>
  </sheetViews>
  <sheetFormatPr defaultRowHeight="14.4" x14ac:dyDescent="0.3"/>
  <cols>
    <col min="1" max="1" width="16" style="1" customWidth="1"/>
    <col min="2" max="2" width="19" style="2" customWidth="1"/>
    <col min="3" max="3" width="60" style="3" customWidth="1"/>
    <col min="4" max="4" width="14" style="2" customWidth="1"/>
    <col min="5" max="5" width="16" style="3" customWidth="1"/>
    <col min="6" max="6" width="60" style="3" customWidth="1"/>
    <col min="7" max="7" width="44" style="3" customWidth="1"/>
    <col min="8" max="9" width="60" style="4" customWidth="1"/>
    <col min="10" max="10" width="11" style="2" customWidth="1"/>
    <col min="11" max="11" width="18" style="3" customWidth="1"/>
    <col min="12" max="12" width="16" style="2" customWidth="1"/>
    <col min="13" max="13" width="60" style="3" customWidth="1"/>
  </cols>
  <sheetData>
    <row r="1" spans="1:13" s="5" customFormat="1" ht="21" x14ac:dyDescent="0.3">
      <c r="A1" s="6" t="s">
        <v>0</v>
      </c>
      <c r="B1" s="17" t="s">
        <v>1</v>
      </c>
      <c r="C1" s="17"/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17" t="s">
        <v>8</v>
      </c>
      <c r="K1" s="17"/>
      <c r="L1" s="17" t="s">
        <v>9</v>
      </c>
      <c r="M1" s="17"/>
    </row>
    <row r="2" spans="1:13" x14ac:dyDescent="0.3">
      <c r="A2" s="18" t="s">
        <v>10</v>
      </c>
      <c r="B2" s="7" t="s">
        <v>11</v>
      </c>
      <c r="C2" s="8" t="s">
        <v>12</v>
      </c>
      <c r="D2" s="7" t="s">
        <v>13</v>
      </c>
      <c r="E2" s="8" t="s">
        <v>10</v>
      </c>
      <c r="F2" s="8" t="s">
        <v>14</v>
      </c>
      <c r="G2" s="8" t="s">
        <v>10</v>
      </c>
      <c r="H2" s="19" t="s">
        <v>15</v>
      </c>
      <c r="I2" s="19" t="s">
        <v>16</v>
      </c>
      <c r="J2" s="7" t="s">
        <v>17</v>
      </c>
      <c r="K2" s="8" t="s">
        <v>18</v>
      </c>
      <c r="L2" s="7" t="s">
        <v>19</v>
      </c>
      <c r="M2" s="8" t="s">
        <v>20</v>
      </c>
    </row>
    <row r="3" spans="1:13" x14ac:dyDescent="0.3">
      <c r="A3" s="18"/>
      <c r="B3" s="7" t="s">
        <v>21</v>
      </c>
      <c r="C3" s="8">
        <v>90</v>
      </c>
      <c r="D3" s="7" t="s">
        <v>22</v>
      </c>
      <c r="E3" s="8" t="s">
        <v>23</v>
      </c>
      <c r="F3" s="8" t="s">
        <v>23</v>
      </c>
      <c r="G3" s="8" t="s">
        <v>23</v>
      </c>
      <c r="H3" s="19"/>
      <c r="I3" s="19"/>
      <c r="J3" s="7" t="s">
        <v>24</v>
      </c>
      <c r="K3" s="8" t="s">
        <v>25</v>
      </c>
      <c r="L3" s="7" t="s">
        <v>26</v>
      </c>
      <c r="M3" s="9" t="s">
        <v>27</v>
      </c>
    </row>
    <row r="4" spans="1:13" ht="72" x14ac:dyDescent="0.3">
      <c r="A4" s="18"/>
      <c r="B4" s="20" t="s">
        <v>28</v>
      </c>
      <c r="C4" s="21" t="s">
        <v>29</v>
      </c>
      <c r="D4" s="7" t="s">
        <v>30</v>
      </c>
      <c r="E4" s="10" t="s">
        <v>31</v>
      </c>
      <c r="F4" s="8" t="s">
        <v>32</v>
      </c>
      <c r="G4" s="8" t="s">
        <v>33</v>
      </c>
      <c r="H4" s="19"/>
      <c r="I4" s="19"/>
      <c r="J4" s="7" t="s">
        <v>34</v>
      </c>
      <c r="K4" s="8">
        <v>500</v>
      </c>
      <c r="L4" s="20" t="s">
        <v>35</v>
      </c>
      <c r="M4" s="21" t="s">
        <v>36</v>
      </c>
    </row>
    <row r="5" spans="1:13" x14ac:dyDescent="0.3">
      <c r="A5" s="18" t="s">
        <v>23</v>
      </c>
      <c r="B5" s="20"/>
      <c r="C5" s="21"/>
      <c r="D5" s="7" t="s">
        <v>37</v>
      </c>
      <c r="E5" s="10" t="s">
        <v>31</v>
      </c>
      <c r="F5" s="8" t="s">
        <v>38</v>
      </c>
      <c r="G5" s="8" t="s">
        <v>39</v>
      </c>
      <c r="H5" s="19" t="s">
        <v>40</v>
      </c>
      <c r="I5" s="19" t="s">
        <v>41</v>
      </c>
      <c r="J5" s="7" t="s">
        <v>42</v>
      </c>
      <c r="K5" s="8" t="s">
        <v>43</v>
      </c>
      <c r="L5" s="20"/>
      <c r="M5" s="21"/>
    </row>
    <row r="6" spans="1:13" x14ac:dyDescent="0.3">
      <c r="A6" s="18"/>
      <c r="B6" s="20"/>
      <c r="C6" s="21"/>
      <c r="D6" s="7" t="s">
        <v>44</v>
      </c>
      <c r="E6" s="10" t="s">
        <v>31</v>
      </c>
      <c r="F6" s="8" t="s">
        <v>45</v>
      </c>
      <c r="G6" s="8" t="s">
        <v>45</v>
      </c>
      <c r="H6" s="19"/>
      <c r="I6" s="19"/>
      <c r="J6" s="7" t="s">
        <v>46</v>
      </c>
      <c r="K6" s="8" t="s">
        <v>47</v>
      </c>
      <c r="L6" s="20"/>
      <c r="M6" s="21"/>
    </row>
    <row r="7" spans="1:13" x14ac:dyDescent="0.3">
      <c r="A7" s="18"/>
      <c r="B7" s="7" t="s">
        <v>48</v>
      </c>
      <c r="C7" s="8" t="s">
        <v>31</v>
      </c>
      <c r="D7" s="7" t="s">
        <v>49</v>
      </c>
      <c r="E7" s="10" t="s">
        <v>31</v>
      </c>
      <c r="F7" s="8" t="s">
        <v>50</v>
      </c>
      <c r="G7" s="8" t="s">
        <v>50</v>
      </c>
      <c r="H7" s="19"/>
      <c r="I7" s="19"/>
      <c r="J7" s="7" t="s">
        <v>51</v>
      </c>
      <c r="K7" s="8" t="s">
        <v>52</v>
      </c>
      <c r="L7" s="20"/>
      <c r="M7" s="21"/>
    </row>
    <row r="8" spans="1:13" x14ac:dyDescent="0.3">
      <c r="A8" s="11"/>
      <c r="B8" s="12"/>
      <c r="C8" s="13"/>
      <c r="D8" s="12"/>
      <c r="E8" s="13"/>
      <c r="F8" s="13"/>
      <c r="G8" s="13"/>
      <c r="H8" s="14"/>
      <c r="I8" s="14"/>
      <c r="J8" s="12"/>
      <c r="K8" s="13"/>
      <c r="L8" s="12"/>
      <c r="M8" s="13"/>
    </row>
    <row r="9" spans="1:13" x14ac:dyDescent="0.3">
      <c r="A9" s="18" t="s">
        <v>53</v>
      </c>
      <c r="B9" s="7" t="s">
        <v>11</v>
      </c>
      <c r="C9" s="8" t="s">
        <v>12</v>
      </c>
      <c r="D9" s="7" t="s">
        <v>13</v>
      </c>
      <c r="E9" s="8" t="s">
        <v>53</v>
      </c>
      <c r="F9" s="8" t="s">
        <v>54</v>
      </c>
      <c r="G9" s="8" t="s">
        <v>55</v>
      </c>
      <c r="H9" s="19" t="s">
        <v>56</v>
      </c>
      <c r="I9" s="19" t="s">
        <v>57</v>
      </c>
      <c r="J9" s="7" t="s">
        <v>17</v>
      </c>
      <c r="K9" s="8" t="s">
        <v>58</v>
      </c>
      <c r="L9" s="7" t="s">
        <v>19</v>
      </c>
      <c r="M9" s="15">
        <v>41435</v>
      </c>
    </row>
    <row r="10" spans="1:13" ht="28.8" x14ac:dyDescent="0.3">
      <c r="A10" s="18"/>
      <c r="B10" s="7" t="s">
        <v>21</v>
      </c>
      <c r="C10" s="8">
        <v>100</v>
      </c>
      <c r="D10" s="7" t="s">
        <v>22</v>
      </c>
      <c r="E10" s="8" t="s">
        <v>59</v>
      </c>
      <c r="F10" s="8" t="s">
        <v>60</v>
      </c>
      <c r="G10" s="8" t="s">
        <v>59</v>
      </c>
      <c r="H10" s="19"/>
      <c r="I10" s="19"/>
      <c r="J10" s="7" t="s">
        <v>24</v>
      </c>
      <c r="K10" s="8" t="s">
        <v>61</v>
      </c>
      <c r="L10" s="7" t="s">
        <v>26</v>
      </c>
      <c r="M10" s="9" t="s">
        <v>27</v>
      </c>
    </row>
    <row r="11" spans="1:13" ht="72" x14ac:dyDescent="0.3">
      <c r="A11" s="18"/>
      <c r="B11" s="20" t="s">
        <v>28</v>
      </c>
      <c r="C11" s="21" t="s">
        <v>31</v>
      </c>
      <c r="D11" s="7" t="s">
        <v>30</v>
      </c>
      <c r="E11" s="10" t="s">
        <v>31</v>
      </c>
      <c r="F11" s="8" t="s">
        <v>62</v>
      </c>
      <c r="G11" s="8" t="s">
        <v>63</v>
      </c>
      <c r="H11" s="19"/>
      <c r="I11" s="19"/>
      <c r="J11" s="7" t="s">
        <v>34</v>
      </c>
      <c r="K11" s="8">
        <v>50</v>
      </c>
      <c r="L11" s="20" t="s">
        <v>35</v>
      </c>
      <c r="M11" s="21" t="s">
        <v>64</v>
      </c>
    </row>
    <row r="12" spans="1:13" x14ac:dyDescent="0.3">
      <c r="A12" s="18" t="s">
        <v>59</v>
      </c>
      <c r="B12" s="20"/>
      <c r="C12" s="21"/>
      <c r="D12" s="7" t="s">
        <v>37</v>
      </c>
      <c r="E12" s="10" t="s">
        <v>31</v>
      </c>
      <c r="F12" s="8" t="s">
        <v>65</v>
      </c>
      <c r="G12" s="8" t="s">
        <v>65</v>
      </c>
      <c r="H12" s="19" t="s">
        <v>66</v>
      </c>
      <c r="I12" s="19" t="s">
        <v>67</v>
      </c>
      <c r="J12" s="7" t="s">
        <v>42</v>
      </c>
      <c r="K12" s="8" t="s">
        <v>43</v>
      </c>
      <c r="L12" s="20"/>
      <c r="M12" s="21"/>
    </row>
    <row r="13" spans="1:13" x14ac:dyDescent="0.3">
      <c r="A13" s="18"/>
      <c r="B13" s="20"/>
      <c r="C13" s="21"/>
      <c r="D13" s="7" t="s">
        <v>44</v>
      </c>
      <c r="E13" s="10" t="s">
        <v>31</v>
      </c>
      <c r="F13" s="8" t="s">
        <v>68</v>
      </c>
      <c r="G13" s="8" t="s">
        <v>68</v>
      </c>
      <c r="H13" s="19"/>
      <c r="I13" s="19"/>
      <c r="J13" s="7" t="s">
        <v>46</v>
      </c>
      <c r="K13" s="8" t="s">
        <v>47</v>
      </c>
      <c r="L13" s="20"/>
      <c r="M13" s="21"/>
    </row>
    <row r="14" spans="1:13" x14ac:dyDescent="0.3">
      <c r="A14" s="18"/>
      <c r="B14" s="7" t="s">
        <v>48</v>
      </c>
      <c r="C14" s="8" t="s">
        <v>31</v>
      </c>
      <c r="D14" s="7" t="s">
        <v>49</v>
      </c>
      <c r="E14" s="10" t="s">
        <v>31</v>
      </c>
      <c r="F14" s="8" t="s">
        <v>50</v>
      </c>
      <c r="G14" s="8" t="s">
        <v>50</v>
      </c>
      <c r="H14" s="19"/>
      <c r="I14" s="19"/>
      <c r="J14" s="7" t="s">
        <v>51</v>
      </c>
      <c r="K14" s="8" t="s">
        <v>69</v>
      </c>
      <c r="L14" s="20"/>
      <c r="M14" s="21"/>
    </row>
    <row r="15" spans="1:13" x14ac:dyDescent="0.3">
      <c r="A15" s="11"/>
      <c r="B15" s="12"/>
      <c r="C15" s="13"/>
      <c r="D15" s="12"/>
      <c r="E15" s="13"/>
      <c r="F15" s="13"/>
      <c r="G15" s="13"/>
      <c r="H15" s="14"/>
      <c r="I15" s="14"/>
      <c r="J15" s="12"/>
      <c r="K15" s="13"/>
      <c r="L15" s="12"/>
      <c r="M15" s="13"/>
    </row>
    <row r="16" spans="1:13" x14ac:dyDescent="0.3">
      <c r="A16" s="18" t="s">
        <v>70</v>
      </c>
      <c r="B16" s="7" t="s">
        <v>11</v>
      </c>
      <c r="C16" s="8" t="s">
        <v>12</v>
      </c>
      <c r="D16" s="7" t="s">
        <v>13</v>
      </c>
      <c r="E16" s="8" t="s">
        <v>70</v>
      </c>
      <c r="F16" s="8" t="s">
        <v>70</v>
      </c>
      <c r="G16" s="8" t="s">
        <v>71</v>
      </c>
      <c r="H16" s="19" t="s">
        <v>72</v>
      </c>
      <c r="I16" s="19" t="s">
        <v>73</v>
      </c>
      <c r="J16" s="7" t="s">
        <v>17</v>
      </c>
      <c r="K16" s="8" t="s">
        <v>74</v>
      </c>
      <c r="L16" s="7" t="s">
        <v>19</v>
      </c>
      <c r="M16" s="15">
        <v>42376</v>
      </c>
    </row>
    <row r="17" spans="1:13" x14ac:dyDescent="0.3">
      <c r="A17" s="18"/>
      <c r="B17" s="7" t="s">
        <v>21</v>
      </c>
      <c r="C17" s="8">
        <v>100</v>
      </c>
      <c r="D17" s="7" t="s">
        <v>22</v>
      </c>
      <c r="E17" s="8" t="s">
        <v>75</v>
      </c>
      <c r="F17" s="8" t="s">
        <v>75</v>
      </c>
      <c r="G17" s="8" t="s">
        <v>75</v>
      </c>
      <c r="H17" s="19"/>
      <c r="I17" s="19"/>
      <c r="J17" s="7" t="s">
        <v>24</v>
      </c>
      <c r="K17" s="8" t="s">
        <v>76</v>
      </c>
      <c r="L17" s="7" t="s">
        <v>26</v>
      </c>
      <c r="M17" s="9" t="s">
        <v>27</v>
      </c>
    </row>
    <row r="18" spans="1:13" ht="72" x14ac:dyDescent="0.3">
      <c r="A18" s="18"/>
      <c r="B18" s="20" t="s">
        <v>28</v>
      </c>
      <c r="C18" s="21" t="s">
        <v>31</v>
      </c>
      <c r="D18" s="7" t="s">
        <v>30</v>
      </c>
      <c r="E18" s="10" t="s">
        <v>31</v>
      </c>
      <c r="F18" s="8" t="s">
        <v>77</v>
      </c>
      <c r="G18" s="8" t="s">
        <v>78</v>
      </c>
      <c r="H18" s="19"/>
      <c r="I18" s="19"/>
      <c r="J18" s="7" t="s">
        <v>34</v>
      </c>
      <c r="K18" s="8">
        <v>12.6</v>
      </c>
      <c r="L18" s="20" t="s">
        <v>35</v>
      </c>
      <c r="M18" s="21" t="s">
        <v>79</v>
      </c>
    </row>
    <row r="19" spans="1:13" x14ac:dyDescent="0.3">
      <c r="A19" s="18" t="s">
        <v>75</v>
      </c>
      <c r="B19" s="20"/>
      <c r="C19" s="21"/>
      <c r="D19" s="7" t="s">
        <v>37</v>
      </c>
      <c r="E19" s="10" t="s">
        <v>31</v>
      </c>
      <c r="F19" s="8" t="s">
        <v>80</v>
      </c>
      <c r="G19" s="8" t="s">
        <v>80</v>
      </c>
      <c r="H19" s="19" t="s">
        <v>81</v>
      </c>
      <c r="I19" s="19" t="s">
        <v>82</v>
      </c>
      <c r="J19" s="7" t="s">
        <v>42</v>
      </c>
      <c r="K19" s="8" t="s">
        <v>83</v>
      </c>
      <c r="L19" s="20"/>
      <c r="M19" s="21"/>
    </row>
    <row r="20" spans="1:13" x14ac:dyDescent="0.3">
      <c r="A20" s="18"/>
      <c r="B20" s="20"/>
      <c r="C20" s="21"/>
      <c r="D20" s="7" t="s">
        <v>44</v>
      </c>
      <c r="E20" s="10" t="s">
        <v>31</v>
      </c>
      <c r="F20" s="8" t="s">
        <v>84</v>
      </c>
      <c r="G20" s="8" t="s">
        <v>84</v>
      </c>
      <c r="H20" s="19"/>
      <c r="I20" s="19"/>
      <c r="J20" s="7" t="s">
        <v>46</v>
      </c>
      <c r="K20" s="8" t="s">
        <v>85</v>
      </c>
      <c r="L20" s="20"/>
      <c r="M20" s="21"/>
    </row>
    <row r="21" spans="1:13" x14ac:dyDescent="0.3">
      <c r="A21" s="18"/>
      <c r="B21" s="7" t="s">
        <v>48</v>
      </c>
      <c r="C21" s="8" t="s">
        <v>31</v>
      </c>
      <c r="D21" s="7" t="s">
        <v>49</v>
      </c>
      <c r="E21" s="10" t="s">
        <v>31</v>
      </c>
      <c r="F21" s="8" t="s">
        <v>50</v>
      </c>
      <c r="G21" s="8" t="s">
        <v>50</v>
      </c>
      <c r="H21" s="19"/>
      <c r="I21" s="19"/>
      <c r="J21" s="7" t="s">
        <v>51</v>
      </c>
      <c r="K21" s="8" t="s">
        <v>86</v>
      </c>
      <c r="L21" s="20"/>
      <c r="M21" s="21"/>
    </row>
    <row r="22" spans="1:13" x14ac:dyDescent="0.3">
      <c r="A22" s="11"/>
      <c r="B22" s="16"/>
      <c r="C22" s="13"/>
      <c r="D22" s="16"/>
      <c r="E22" s="13"/>
      <c r="F22" s="13"/>
      <c r="G22" s="13"/>
      <c r="H22" s="14"/>
      <c r="I22" s="14"/>
      <c r="J22" s="16"/>
      <c r="K22" s="13"/>
      <c r="L22" s="16"/>
      <c r="M22" s="13"/>
    </row>
  </sheetData>
  <mergeCells count="33">
    <mergeCell ref="L18:L21"/>
    <mergeCell ref="M18:M21"/>
    <mergeCell ref="A19:A21"/>
    <mergeCell ref="H19:H21"/>
    <mergeCell ref="I19:I21"/>
    <mergeCell ref="A16:A18"/>
    <mergeCell ref="H16:H18"/>
    <mergeCell ref="I16:I18"/>
    <mergeCell ref="B18:B20"/>
    <mergeCell ref="C18:C20"/>
    <mergeCell ref="L11:L14"/>
    <mergeCell ref="M11:M14"/>
    <mergeCell ref="A12:A14"/>
    <mergeCell ref="H12:H14"/>
    <mergeCell ref="I12:I14"/>
    <mergeCell ref="A9:A11"/>
    <mergeCell ref="H9:H11"/>
    <mergeCell ref="I9:I11"/>
    <mergeCell ref="B11:B13"/>
    <mergeCell ref="C11:C13"/>
    <mergeCell ref="B1:C1"/>
    <mergeCell ref="J1:K1"/>
    <mergeCell ref="L1:M1"/>
    <mergeCell ref="A2:A4"/>
    <mergeCell ref="H2:H4"/>
    <mergeCell ref="I2:I4"/>
    <mergeCell ref="B4:B6"/>
    <mergeCell ref="C4:C6"/>
    <mergeCell ref="L4:L7"/>
    <mergeCell ref="M4:M7"/>
    <mergeCell ref="A5:A7"/>
    <mergeCell ref="H5:H7"/>
    <mergeCell ref="I5:I7"/>
  </mergeCells>
  <hyperlinks>
    <hyperlink ref="M3" r:id="rId1" xr:uid="{00000000-0004-0000-0000-000000000000}"/>
    <hyperlink ref="M10" r:id="rId2" xr:uid="{00000000-0004-0000-0000-000001000000}"/>
    <hyperlink ref="M17" r:id="rId3" xr:uid="{00000000-0004-0000-0000-000002000000}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cols>
    <col min="1" max="1" width="17" customWidth="1"/>
  </cols>
  <sheetData>
    <row r="1" spans="1:1" x14ac:dyDescent="0.3">
      <c r="A1" t="s">
        <v>87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1"/>
  <sheetViews>
    <sheetView workbookViewId="0"/>
  </sheetViews>
  <sheetFormatPr defaultRowHeight="14.4" x14ac:dyDescent="0.3"/>
  <cols>
    <col min="1" max="13" width="17" customWidth="1"/>
  </cols>
  <sheetData>
    <row r="1" spans="1:13" x14ac:dyDescent="0.3">
      <c r="A1" t="s">
        <v>0</v>
      </c>
      <c r="B1" t="s">
        <v>1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8</v>
      </c>
      <c r="L1" t="s">
        <v>9</v>
      </c>
      <c r="M1" t="s">
        <v>9</v>
      </c>
    </row>
    <row r="2" spans="1:13" x14ac:dyDescent="0.3">
      <c r="A2" t="str">
        <f>'Full Data'!A2</f>
        <v>Barium nitrate</v>
      </c>
      <c r="B2" t="str">
        <f>'Full Data'!B2</f>
        <v>STATUS CODE:</v>
      </c>
      <c r="C2" t="str">
        <f>'Full Data'!C2</f>
        <v>✅✅ Extremely Confident</v>
      </c>
      <c r="D2" t="str">
        <f>'Full Data'!D2</f>
        <v xml:space="preserve">NAME: </v>
      </c>
      <c r="E2" t="str">
        <f>'Full Data'!E2</f>
        <v>Barium nitrate</v>
      </c>
      <c r="F2" t="str">
        <f>'Full Data'!F2</f>
        <v>BARIUM NITRATE</v>
      </c>
      <c r="G2" t="str">
        <f>'Full Data'!G2</f>
        <v>Barium nitrate</v>
      </c>
      <c r="H2" t="str">
        <f>'Full Data'!H2</f>
        <v xml:space="preserve">May intensify fire; oxidizer 
Toxic if swallowed 
Causes serious eye irritation </v>
      </c>
      <c r="I2" t="str">
        <f>'Full Data'!I2</f>
        <v>Oxidizer
Acute Toxic
Irritant
Health Hazard</v>
      </c>
      <c r="J2" t="str">
        <f>'Full Data'!J2</f>
        <v>CLASS:</v>
      </c>
      <c r="K2" t="str">
        <f>'Full Data'!K2</f>
        <v>Inorganic salt</v>
      </c>
      <c r="L2" t="str">
        <f>'Full Data'!L2</f>
        <v>RECEIVED DATE</v>
      </c>
      <c r="M2" t="str">
        <f>'Full Data'!M2</f>
        <v>No date</v>
      </c>
    </row>
    <row r="3" spans="1:13" x14ac:dyDescent="0.3">
      <c r="A3">
        <f>'Full Data'!A3</f>
        <v>0</v>
      </c>
      <c r="B3" t="str">
        <f>'Full Data'!B3</f>
        <v>CONFIDENCE SCORE:</v>
      </c>
      <c r="C3">
        <f>'Full Data'!C3</f>
        <v>90</v>
      </c>
      <c r="D3" t="str">
        <f>'Full Data'!D3</f>
        <v>CAS NO.:</v>
      </c>
      <c r="E3" t="str">
        <f>'Full Data'!E3</f>
        <v>10022-31-8</v>
      </c>
      <c r="F3" t="str">
        <f>'Full Data'!F3</f>
        <v>10022-31-8</v>
      </c>
      <c r="G3" t="str">
        <f>'Full Data'!G3</f>
        <v>10022-31-8</v>
      </c>
      <c r="H3">
        <f>'Full Data'!H3</f>
        <v>0</v>
      </c>
      <c r="I3">
        <f>'Full Data'!I3</f>
        <v>0</v>
      </c>
      <c r="J3" t="str">
        <f>'Full Data'!J3</f>
        <v>SUPPLIER:</v>
      </c>
      <c r="K3" t="str">
        <f>'Full Data'!K3</f>
        <v>EM Science</v>
      </c>
      <c r="L3" t="str">
        <f>'Full Data'!L3</f>
        <v xml:space="preserve">SDS LINK: </v>
      </c>
      <c r="M3" t="str">
        <f>'Full Data'!M3</f>
        <v>Click for SDS.</v>
      </c>
    </row>
    <row r="4" spans="1:13" x14ac:dyDescent="0.3">
      <c r="A4">
        <f>'Full Data'!A4</f>
        <v>0</v>
      </c>
      <c r="B4" t="str">
        <f>'Full Data'!B4</f>
        <v>CONF. SCORE INFO:</v>
      </c>
      <c r="C4" t="str">
        <f>'Full Data'!C4</f>
        <v>Molecular Formulas (normalized) do not match
SDS: BAN2O6
PubChem: BA(NO3)2
Penalty: -10</v>
      </c>
      <c r="D4" t="str">
        <f>'Full Data'!D4</f>
        <v>SYNONYMS:</v>
      </c>
      <c r="E4" t="str">
        <f>'Full Data'!E4</f>
        <v/>
      </c>
      <c r="F4" t="str">
        <f>'Full Data'!F4</f>
        <v>Nitrobarite
Nitric acid, barium salt
Barium dinitrate
Nitrate de baryum
Nitrato barico</v>
      </c>
      <c r="G4" t="str">
        <f>'Full Data'!G4</f>
        <v>Barium dinitrate; Nitric acid
barium salt.</v>
      </c>
      <c r="H4">
        <f>'Full Data'!H4</f>
        <v>0</v>
      </c>
      <c r="I4">
        <f>'Full Data'!I4</f>
        <v>0</v>
      </c>
      <c r="J4" t="str">
        <f>'Full Data'!J4</f>
        <v>QUANTITY:</v>
      </c>
      <c r="K4">
        <f>'Full Data'!K4</f>
        <v>500</v>
      </c>
      <c r="L4" t="str">
        <f>'Full Data'!L4</f>
        <v>STORAGE NOTES:</v>
      </c>
      <c r="M4" t="str">
        <f>'Full Data'!M4</f>
        <v>Keep containers tightly closed in a dry, cool and well-ventilated place. Do not store near combustible materials. Incompatible Materials. Organic materials. Acids. Bases. Acid anhydrides. Metals. Reducing Agent. Strong reducing agents. Combustible material.</v>
      </c>
    </row>
    <row r="5" spans="1:13" x14ac:dyDescent="0.3">
      <c r="A5" t="str">
        <f>'Full Data'!A5</f>
        <v>10022-31-8</v>
      </c>
      <c r="B5">
        <f>'Full Data'!B5</f>
        <v>0</v>
      </c>
      <c r="C5">
        <f>'Full Data'!C5</f>
        <v>0</v>
      </c>
      <c r="D5" t="str">
        <f>'Full Data'!D5</f>
        <v>FORMULA:</v>
      </c>
      <c r="E5" t="str">
        <f>'Full Data'!E5</f>
        <v/>
      </c>
      <c r="F5" t="str">
        <f>'Full Data'!F5</f>
        <v>Ba(NO3)2</v>
      </c>
      <c r="G5" t="str">
        <f>'Full Data'!G5</f>
        <v>BaN2O6</v>
      </c>
      <c r="H5" t="str">
        <f>'Full Data'!H5</f>
        <v>H272 (68.7%): May intensify fire; oxidizer [Danger Oxidizing liquids; Oxidizing solids]
H301 (12.2%): Toxic if swallowed [Danger Acute toxicity, oral]
H302 (86.6%): Harmful if swallowed [Warning Acute toxicity, oral]
H319 (24.8%): Causes serious eye irritation [Warning Serious eye damage/eye irritation]
H332 (98.8%): Harmful if inhaled [Warning Acute toxicity, inhalation]
H335: May cause respiratory irritation [Warning Specific target organ toxicity, single exposure; Respiratory tract irritation]
H336: May cause drowsiness or dizziness [Warning Specific target organ toxicity, single exposure; Narcotic effects]
H370: Causes damage to organs [Danger Specific target organ toxicity, single exposure]
H371: May cause damage to organs [Warning Specific target organ toxicity, single exposure]
H372: Causes damage to organs through prolonged or repeated exposure [Danger Specific target organ toxicity, repeated exposure]
H316: Causes mild skin irritation [Warning Skin corrosion/irritation]</v>
      </c>
      <c r="I5" t="str">
        <f>'Full Data'!I5</f>
        <v>OX
AC
IR
CA</v>
      </c>
      <c r="J5" t="str">
        <f>'Full Data'!J5</f>
        <v>UNITS:</v>
      </c>
      <c r="K5" t="str">
        <f>'Full Data'!K5</f>
        <v>g</v>
      </c>
      <c r="L5">
        <f>'Full Data'!L5</f>
        <v>0</v>
      </c>
      <c r="M5">
        <f>'Full Data'!M5</f>
        <v>0</v>
      </c>
    </row>
    <row r="6" spans="1:13" x14ac:dyDescent="0.3">
      <c r="A6">
        <f>'Full Data'!A6</f>
        <v>0</v>
      </c>
      <c r="B6">
        <f>'Full Data'!B6</f>
        <v>0</v>
      </c>
      <c r="C6">
        <f>'Full Data'!C6</f>
        <v>0</v>
      </c>
      <c r="D6" t="str">
        <f>'Full Data'!D6</f>
        <v>MW:</v>
      </c>
      <c r="E6" t="str">
        <f>'Full Data'!E6</f>
        <v/>
      </c>
      <c r="F6" t="str">
        <f>'Full Data'!F6</f>
        <v>261.34</v>
      </c>
      <c r="G6" t="str">
        <f>'Full Data'!G6</f>
        <v>261.34</v>
      </c>
      <c r="H6">
        <f>'Full Data'!H6</f>
        <v>0</v>
      </c>
      <c r="I6">
        <f>'Full Data'!I6</f>
        <v>0</v>
      </c>
      <c r="J6" t="str">
        <f>'Full Data'!J6</f>
        <v>LOCATION:</v>
      </c>
      <c r="K6" t="str">
        <f>'Full Data'!K6</f>
        <v>6-144</v>
      </c>
      <c r="L6">
        <f>'Full Data'!L6</f>
        <v>0</v>
      </c>
      <c r="M6">
        <f>'Full Data'!M6</f>
        <v>0</v>
      </c>
    </row>
    <row r="7" spans="1:13" x14ac:dyDescent="0.3">
      <c r="A7">
        <f>'Full Data'!A7</f>
        <v>0</v>
      </c>
      <c r="B7" t="str">
        <f>'Full Data'!B7</f>
        <v>ERRORS:</v>
      </c>
      <c r="C7" t="str">
        <f>'Full Data'!C7</f>
        <v/>
      </c>
      <c r="D7" t="str">
        <f>'Full Data'!D7</f>
        <v>SIGNAL WORD:</v>
      </c>
      <c r="E7" t="str">
        <f>'Full Data'!E7</f>
        <v/>
      </c>
      <c r="F7" t="str">
        <f>'Full Data'!F7</f>
        <v>Danger</v>
      </c>
      <c r="G7" t="str">
        <f>'Full Data'!G7</f>
        <v>Danger</v>
      </c>
      <c r="H7">
        <f>'Full Data'!H7</f>
        <v>0</v>
      </c>
      <c r="I7">
        <f>'Full Data'!I7</f>
        <v>0</v>
      </c>
      <c r="J7" t="str">
        <f>'Full Data'!J7</f>
        <v>CABINET:</v>
      </c>
      <c r="K7" t="str">
        <f>'Full Data'!K7</f>
        <v>A-1</v>
      </c>
      <c r="L7">
        <f>'Full Data'!L7</f>
        <v>0</v>
      </c>
      <c r="M7">
        <f>'Full Data'!M7</f>
        <v>0</v>
      </c>
    </row>
    <row r="8" spans="1:13" x14ac:dyDescent="0.3">
      <c r="A8">
        <f>'Full Data'!A8</f>
        <v>0</v>
      </c>
      <c r="B8">
        <f>'Full Data'!B8</f>
        <v>0</v>
      </c>
      <c r="C8">
        <f>'Full Data'!C8</f>
        <v>0</v>
      </c>
      <c r="D8">
        <f>'Full Data'!D8</f>
        <v>0</v>
      </c>
      <c r="E8">
        <f>'Full Data'!E8</f>
        <v>0</v>
      </c>
      <c r="F8">
        <f>'Full Data'!F8</f>
        <v>0</v>
      </c>
      <c r="G8">
        <f>'Full Data'!G8</f>
        <v>0</v>
      </c>
      <c r="H8">
        <f>'Full Data'!H8</f>
        <v>0</v>
      </c>
      <c r="I8">
        <f>'Full Data'!I8</f>
        <v>0</v>
      </c>
      <c r="J8">
        <f>'Full Data'!J8</f>
        <v>0</v>
      </c>
      <c r="K8">
        <f>'Full Data'!K8</f>
        <v>0</v>
      </c>
      <c r="L8">
        <f>'Full Data'!L8</f>
        <v>0</v>
      </c>
      <c r="M8">
        <f>'Full Data'!M8</f>
        <v>0</v>
      </c>
    </row>
    <row r="9" spans="1:13" x14ac:dyDescent="0.3">
      <c r="A9" t="str">
        <f>'Full Data'!A9</f>
        <v>1-napthol</v>
      </c>
      <c r="B9" t="str">
        <f>'Full Data'!B9</f>
        <v>STATUS CODE:</v>
      </c>
      <c r="C9" t="str">
        <f>'Full Data'!C9</f>
        <v>✅✅ Extremely Confident</v>
      </c>
      <c r="D9" t="str">
        <f>'Full Data'!D9</f>
        <v xml:space="preserve">NAME: </v>
      </c>
      <c r="E9" t="str">
        <f>'Full Data'!E9</f>
        <v>1-napthol</v>
      </c>
      <c r="F9" t="str">
        <f>'Full Data'!F9</f>
        <v>1-NAPHTHOL</v>
      </c>
      <c r="G9" t="str">
        <f>'Full Data'!G9</f>
        <v>1-Naphthol</v>
      </c>
      <c r="H9" t="str">
        <f>'Full Data'!H9</f>
        <v>Causes skin irritation 
Causes serious eye damage 
May cause respiratory irritation 
Harmful if swallowed or in contact with skin</v>
      </c>
      <c r="I9" t="str">
        <f>'Full Data'!I9</f>
        <v>Corrosive
Irritant
Acute Toxic
Environmental Hazard
Health Hazard</v>
      </c>
      <c r="J9" t="str">
        <f>'Full Data'!J9</f>
        <v>CLASS:</v>
      </c>
      <c r="K9" t="str">
        <f>'Full Data'!K9</f>
        <v>Organic compound</v>
      </c>
      <c r="L9" t="str">
        <f>'Full Data'!L9</f>
        <v>RECEIVED DATE</v>
      </c>
      <c r="M9">
        <f>'Full Data'!M9</f>
        <v>41435</v>
      </c>
    </row>
    <row r="10" spans="1:13" x14ac:dyDescent="0.3">
      <c r="A10">
        <f>'Full Data'!A10</f>
        <v>0</v>
      </c>
      <c r="B10" t="str">
        <f>'Full Data'!B10</f>
        <v>CONFIDENCE SCORE:</v>
      </c>
      <c r="C10">
        <f>'Full Data'!C10</f>
        <v>100</v>
      </c>
      <c r="D10" t="str">
        <f>'Full Data'!D10</f>
        <v>CAS NO.:</v>
      </c>
      <c r="E10" t="str">
        <f>'Full Data'!E10</f>
        <v>90-15-3</v>
      </c>
      <c r="F10" t="str">
        <f>'Full Data'!F10</f>
        <v>90-15-3
1321-67-1</v>
      </c>
      <c r="G10" t="str">
        <f>'Full Data'!G10</f>
        <v>90-15-3</v>
      </c>
      <c r="H10">
        <f>'Full Data'!H10</f>
        <v>0</v>
      </c>
      <c r="I10">
        <f>'Full Data'!I10</f>
        <v>0</v>
      </c>
      <c r="J10" t="str">
        <f>'Full Data'!J10</f>
        <v>SUPPLIER:</v>
      </c>
      <c r="K10" t="str">
        <f>'Full Data'!K10</f>
        <v>Acros</v>
      </c>
      <c r="L10" t="str">
        <f>'Full Data'!L10</f>
        <v xml:space="preserve">SDS LINK: </v>
      </c>
      <c r="M10" t="str">
        <f>'Full Data'!M10</f>
        <v>Click for SDS.</v>
      </c>
    </row>
    <row r="11" spans="1:13" x14ac:dyDescent="0.3">
      <c r="A11">
        <f>'Full Data'!A11</f>
        <v>0</v>
      </c>
      <c r="B11" t="str">
        <f>'Full Data'!B11</f>
        <v>CONF. SCORE INFO:</v>
      </c>
      <c r="C11" t="str">
        <f>'Full Data'!C11</f>
        <v/>
      </c>
      <c r="D11" t="str">
        <f>'Full Data'!D11</f>
        <v>SYNONYMS:</v>
      </c>
      <c r="E11" t="str">
        <f>'Full Data'!E11</f>
        <v/>
      </c>
      <c r="F11" t="str">
        <f>'Full Data'!F11</f>
        <v>naphthalen-1-ol
1-Naphthalenol
alpha-naphthol
1-Hydroxynaphthalene
Furro ER</v>
      </c>
      <c r="G11" t="str">
        <f>'Full Data'!G11</f>
        <v>1-Hydroxynaphthalene</v>
      </c>
      <c r="H11">
        <f>'Full Data'!H11</f>
        <v>0</v>
      </c>
      <c r="I11">
        <f>'Full Data'!I11</f>
        <v>0</v>
      </c>
      <c r="J11" t="str">
        <f>'Full Data'!J11</f>
        <v>QUANTITY:</v>
      </c>
      <c r="K11">
        <f>'Full Data'!K11</f>
        <v>50</v>
      </c>
      <c r="L11" t="str">
        <f>'Full Data'!L11</f>
        <v>STORAGE NOTES:</v>
      </c>
      <c r="M11" t="str">
        <f>'Full Data'!M11</f>
        <v>Keep in a dry, cool and well-ventilated place. Protect from direct sunlight. Incompatible Materials. Strong oxidizing agents. Strong bases. Halogens. Acid anhydrides. Acid chlorides.</v>
      </c>
    </row>
    <row r="12" spans="1:13" x14ac:dyDescent="0.3">
      <c r="A12" t="str">
        <f>'Full Data'!A12</f>
        <v>90-15-3</v>
      </c>
      <c r="B12">
        <f>'Full Data'!B12</f>
        <v>0</v>
      </c>
      <c r="C12">
        <f>'Full Data'!C12</f>
        <v>0</v>
      </c>
      <c r="D12" t="str">
        <f>'Full Data'!D12</f>
        <v>FORMULA:</v>
      </c>
      <c r="E12" t="str">
        <f>'Full Data'!E12</f>
        <v/>
      </c>
      <c r="F12" t="str">
        <f>'Full Data'!F12</f>
        <v>C10H8O</v>
      </c>
      <c r="G12" t="str">
        <f>'Full Data'!G12</f>
        <v>C10H8O</v>
      </c>
      <c r="H12" t="str">
        <f>'Full Data'!H12</f>
        <v>H302: Harmful if swallowed [Warning Acute toxicity, oral]
H312: Harmful in contact with skin [Warning Acute toxicity, dermal]
H315: Causes skin irritation [Warning Skin corrosion/irritation]
H318: Causes serious eye damage [Danger Serious eye damage/eye irritation]
H335: May cause respiratory irritation [Warning Specific target organ toxicity, single exposure; Respiratory tract irritation]
H311 (31.8%): Toxic in contact with skin [Danger Acute toxicity, dermal]
H317 (25%): May cause an allergic skin reaction [Warning Sensitization, Skin]
H400 (24.7%): Very toxic to aquatic life [Warning Hazardous to the aquatic environment, acute hazard]
H410 (18%): Very toxic to aquatic life with long lasting effects [Warning Hazardous to the aquatic environment, long-term hazard]
H412 (23.6%): Harmful to aquatic life with long lasting effects [Hazardous to the aquatic environment, long-term hazard]
H314: Causes severe skin burns and eye damage [Danger Skin corrosion/irritation]
H371: May cause damage to organs [Warning Specific target organ toxicity, single exposure]
H411: Toxic to aquatic life with long lasting effects [Hazardous to the aquatic environment, long-term hazard]</v>
      </c>
      <c r="I12" t="str">
        <f>'Full Data'!I12</f>
        <v>CO
IR
AC
EN
CA</v>
      </c>
      <c r="J12" t="str">
        <f>'Full Data'!J12</f>
        <v>UNITS:</v>
      </c>
      <c r="K12" t="str">
        <f>'Full Data'!K12</f>
        <v>g</v>
      </c>
      <c r="L12">
        <f>'Full Data'!L12</f>
        <v>0</v>
      </c>
      <c r="M12">
        <f>'Full Data'!M12</f>
        <v>0</v>
      </c>
    </row>
    <row r="13" spans="1:13" x14ac:dyDescent="0.3">
      <c r="A13">
        <f>'Full Data'!A13</f>
        <v>0</v>
      </c>
      <c r="B13">
        <f>'Full Data'!B13</f>
        <v>0</v>
      </c>
      <c r="C13">
        <f>'Full Data'!C13</f>
        <v>0</v>
      </c>
      <c r="D13" t="str">
        <f>'Full Data'!D13</f>
        <v>MW:</v>
      </c>
      <c r="E13" t="str">
        <f>'Full Data'!E13</f>
        <v/>
      </c>
      <c r="F13" t="str">
        <f>'Full Data'!F13</f>
        <v>144.17</v>
      </c>
      <c r="G13" t="str">
        <f>'Full Data'!G13</f>
        <v>144.17</v>
      </c>
      <c r="H13">
        <f>'Full Data'!H13</f>
        <v>0</v>
      </c>
      <c r="I13">
        <f>'Full Data'!I13</f>
        <v>0</v>
      </c>
      <c r="J13" t="str">
        <f>'Full Data'!J13</f>
        <v>LOCATION:</v>
      </c>
      <c r="K13" t="str">
        <f>'Full Data'!K13</f>
        <v>6-144</v>
      </c>
      <c r="L13">
        <f>'Full Data'!L13</f>
        <v>0</v>
      </c>
      <c r="M13">
        <f>'Full Data'!M13</f>
        <v>0</v>
      </c>
    </row>
    <row r="14" spans="1:13" x14ac:dyDescent="0.3">
      <c r="A14">
        <f>'Full Data'!A14</f>
        <v>0</v>
      </c>
      <c r="B14" t="str">
        <f>'Full Data'!B14</f>
        <v>ERRORS:</v>
      </c>
      <c r="C14" t="str">
        <f>'Full Data'!C14</f>
        <v/>
      </c>
      <c r="D14" t="str">
        <f>'Full Data'!D14</f>
        <v>SIGNAL WORD:</v>
      </c>
      <c r="E14" t="str">
        <f>'Full Data'!E14</f>
        <v/>
      </c>
      <c r="F14" t="str">
        <f>'Full Data'!F14</f>
        <v>Danger</v>
      </c>
      <c r="G14" t="str">
        <f>'Full Data'!G14</f>
        <v>Danger</v>
      </c>
      <c r="H14">
        <f>'Full Data'!H14</f>
        <v>0</v>
      </c>
      <c r="I14">
        <f>'Full Data'!I14</f>
        <v>0</v>
      </c>
      <c r="J14" t="str">
        <f>'Full Data'!J14</f>
        <v>CABINET:</v>
      </c>
      <c r="K14" t="str">
        <f>'Full Data'!K14</f>
        <v>B- 5</v>
      </c>
      <c r="L14">
        <f>'Full Data'!L14</f>
        <v>0</v>
      </c>
      <c r="M14">
        <f>'Full Data'!M14</f>
        <v>0</v>
      </c>
    </row>
    <row r="15" spans="1:13" x14ac:dyDescent="0.3">
      <c r="A15">
        <f>'Full Data'!A15</f>
        <v>0</v>
      </c>
      <c r="B15">
        <f>'Full Data'!B15</f>
        <v>0</v>
      </c>
      <c r="C15">
        <f>'Full Data'!C15</f>
        <v>0</v>
      </c>
      <c r="D15">
        <f>'Full Data'!D15</f>
        <v>0</v>
      </c>
      <c r="E15">
        <f>'Full Data'!E15</f>
        <v>0</v>
      </c>
      <c r="F15">
        <f>'Full Data'!F15</f>
        <v>0</v>
      </c>
      <c r="G15">
        <f>'Full Data'!G15</f>
        <v>0</v>
      </c>
      <c r="H15">
        <f>'Full Data'!H15</f>
        <v>0</v>
      </c>
      <c r="I15">
        <f>'Full Data'!I15</f>
        <v>0</v>
      </c>
      <c r="J15">
        <f>'Full Data'!J15</f>
        <v>0</v>
      </c>
      <c r="K15">
        <f>'Full Data'!K15</f>
        <v>0</v>
      </c>
      <c r="L15">
        <f>'Full Data'!L15</f>
        <v>0</v>
      </c>
      <c r="M15">
        <f>'Full Data'!M15</f>
        <v>0</v>
      </c>
    </row>
    <row r="16" spans="1:13" x14ac:dyDescent="0.3">
      <c r="A16" t="str">
        <f>'Full Data'!A16</f>
        <v>acetone</v>
      </c>
      <c r="B16" t="str">
        <f>'Full Data'!B16</f>
        <v>STATUS CODE:</v>
      </c>
      <c r="C16" t="str">
        <f>'Full Data'!C16</f>
        <v>✅✅ Extremely Confident</v>
      </c>
      <c r="D16" t="str">
        <f>'Full Data'!D16</f>
        <v xml:space="preserve">NAME: </v>
      </c>
      <c r="E16" t="str">
        <f>'Full Data'!E16</f>
        <v>acetone</v>
      </c>
      <c r="F16" t="str">
        <f>'Full Data'!F16</f>
        <v>acetone</v>
      </c>
      <c r="G16" t="str">
        <f>'Full Data'!G16</f>
        <v>Acetone</v>
      </c>
      <c r="H16" t="str">
        <f>'Full Data'!H16</f>
        <v>Causes serious eye irritation 
May cause drowsiness or dizziness  Serious Eye Damage/Eye Irritation 
May cause damage to organs through prolonged or repeated exposure</v>
      </c>
      <c r="I16" t="str">
        <f>'Full Data'!I16</f>
        <v>Flammable
Irritant
Health Hazard</v>
      </c>
      <c r="J16" t="str">
        <f>'Full Data'!J16</f>
        <v>CLASS:</v>
      </c>
      <c r="K16" t="str">
        <f>'Full Data'!K16</f>
        <v>Solvent</v>
      </c>
      <c r="L16" t="str">
        <f>'Full Data'!L16</f>
        <v>RECEIVED DATE</v>
      </c>
      <c r="M16">
        <f>'Full Data'!M16</f>
        <v>42376</v>
      </c>
    </row>
    <row r="17" spans="1:13" x14ac:dyDescent="0.3">
      <c r="A17">
        <f>'Full Data'!A17</f>
        <v>0</v>
      </c>
      <c r="B17" t="str">
        <f>'Full Data'!B17</f>
        <v>CONFIDENCE SCORE:</v>
      </c>
      <c r="C17">
        <f>'Full Data'!C17</f>
        <v>100</v>
      </c>
      <c r="D17" t="str">
        <f>'Full Data'!D17</f>
        <v>CAS NO.:</v>
      </c>
      <c r="E17" t="str">
        <f>'Full Data'!E17</f>
        <v>67-64-1</v>
      </c>
      <c r="F17" t="str">
        <f>'Full Data'!F17</f>
        <v>67-64-1</v>
      </c>
      <c r="G17" t="str">
        <f>'Full Data'!G17</f>
        <v>67-64-1</v>
      </c>
      <c r="H17">
        <f>'Full Data'!H17</f>
        <v>0</v>
      </c>
      <c r="I17">
        <f>'Full Data'!I17</f>
        <v>0</v>
      </c>
      <c r="J17" t="str">
        <f>'Full Data'!J17</f>
        <v>SUPPLIER:</v>
      </c>
      <c r="K17" t="str">
        <f>'Full Data'!K17</f>
        <v>Brand Nu</v>
      </c>
      <c r="L17" t="str">
        <f>'Full Data'!L17</f>
        <v xml:space="preserve">SDS LINK: </v>
      </c>
      <c r="M17" t="str">
        <f>'Full Data'!M17</f>
        <v>Click for SDS.</v>
      </c>
    </row>
    <row r="18" spans="1:13" x14ac:dyDescent="0.3">
      <c r="A18">
        <f>'Full Data'!A18</f>
        <v>0</v>
      </c>
      <c r="B18" t="str">
        <f>'Full Data'!B18</f>
        <v>CONF. SCORE INFO:</v>
      </c>
      <c r="C18" t="str">
        <f>'Full Data'!C18</f>
        <v/>
      </c>
      <c r="D18" t="str">
        <f>'Full Data'!D18</f>
        <v>SYNONYMS:</v>
      </c>
      <c r="E18" t="str">
        <f>'Full Data'!E18</f>
        <v/>
      </c>
      <c r="F18" t="str">
        <f>'Full Data'!F18</f>
        <v>2-propanone
propanone
Dimethyl ketone
propan-2-one
Methyl ketone</v>
      </c>
      <c r="G18" t="str">
        <f>'Full Data'!G18</f>
        <v>2-Propanone</v>
      </c>
      <c r="H18">
        <f>'Full Data'!H18</f>
        <v>0</v>
      </c>
      <c r="I18">
        <f>'Full Data'!I18</f>
        <v>0</v>
      </c>
      <c r="J18" t="str">
        <f>'Full Data'!J18</f>
        <v>QUANTITY:</v>
      </c>
      <c r="K18">
        <f>'Full Data'!K18</f>
        <v>12.6</v>
      </c>
      <c r="L18" t="str">
        <f>'Full Data'!L18</f>
        <v>STORAGE NOTES:</v>
      </c>
      <c r="M18" t="str">
        <f>'Full Data'!M18</f>
        <v>Flammables area. Keep containers tightly closed in a dry, cool and well-ventilated place. Keep away from heat, sparks and flame. Incompatible Materials. Strong oxidizing agents. Strong reducing agents. Strong bases. Peroxides. Halogenated compounds. Alkali metals. Amines.</v>
      </c>
    </row>
    <row r="19" spans="1:13" x14ac:dyDescent="0.3">
      <c r="A19" t="str">
        <f>'Full Data'!A19</f>
        <v>67-64-1</v>
      </c>
      <c r="B19">
        <f>'Full Data'!B19</f>
        <v>0</v>
      </c>
      <c r="C19">
        <f>'Full Data'!C19</f>
        <v>0</v>
      </c>
      <c r="D19" t="str">
        <f>'Full Data'!D19</f>
        <v>FORMULA:</v>
      </c>
      <c r="E19" t="str">
        <f>'Full Data'!E19</f>
        <v/>
      </c>
      <c r="F19" t="str">
        <f>'Full Data'!F19</f>
        <v>C3H6O</v>
      </c>
      <c r="G19" t="str">
        <f>'Full Data'!G19</f>
        <v>C3H6O</v>
      </c>
      <c r="H19" t="str">
        <f>'Full Data'!H19</f>
        <v>H225: Highly Flammable liquid and vapor [Danger Flammable liquids]
H319: Causes serious eye irritation [Warning Serious eye damage/eye irritation]
H336: May cause drowsiness or dizziness [Warning Specific target organ toxicity, single exposure; Narcotic effects]
H305: May be harmful if swallowed and enters airways [Warning Aspiration hazard]
H320: Causes eye irritation [Warning Serious eye damage/eye irritation]
H335: May cause respiratory irritation [Warning Specific target organ toxicity, single exposure; Respiratory tract irritation]
H361: Suspected of damaging fertility or the unborn child [Warning Reproductive toxicity]
H373: May causes damage to organs through prolonged or repeated exposure [Warning Specific target organ toxicity, repeated exposure]
H372: Causes damage to organs through prolonged or repeated exposure [Danger Specific target organ toxicity, repeated exposure]</v>
      </c>
      <c r="I19" t="str">
        <f>'Full Data'!I19</f>
        <v>FL
IR
CA</v>
      </c>
      <c r="J19" t="str">
        <f>'Full Data'!J19</f>
        <v>UNITS:</v>
      </c>
      <c r="K19" t="str">
        <f>'Full Data'!K19</f>
        <v>L</v>
      </c>
      <c r="L19">
        <f>'Full Data'!L19</f>
        <v>0</v>
      </c>
      <c r="M19">
        <f>'Full Data'!M19</f>
        <v>0</v>
      </c>
    </row>
    <row r="20" spans="1:13" x14ac:dyDescent="0.3">
      <c r="A20">
        <f>'Full Data'!A20</f>
        <v>0</v>
      </c>
      <c r="B20">
        <f>'Full Data'!B20</f>
        <v>0</v>
      </c>
      <c r="C20">
        <f>'Full Data'!C20</f>
        <v>0</v>
      </c>
      <c r="D20" t="str">
        <f>'Full Data'!D20</f>
        <v>MW:</v>
      </c>
      <c r="E20" t="str">
        <f>'Full Data'!E20</f>
        <v/>
      </c>
      <c r="F20" t="str">
        <f>'Full Data'!F20</f>
        <v>58.08</v>
      </c>
      <c r="G20" t="str">
        <f>'Full Data'!G20</f>
        <v>58.08</v>
      </c>
      <c r="H20">
        <f>'Full Data'!H20</f>
        <v>0</v>
      </c>
      <c r="I20">
        <f>'Full Data'!I20</f>
        <v>0</v>
      </c>
      <c r="J20" t="str">
        <f>'Full Data'!J20</f>
        <v>LOCATION:</v>
      </c>
      <c r="K20" t="str">
        <f>'Full Data'!K20</f>
        <v>6-147</v>
      </c>
      <c r="L20">
        <f>'Full Data'!L20</f>
        <v>0</v>
      </c>
      <c r="M20">
        <f>'Full Data'!M20</f>
        <v>0</v>
      </c>
    </row>
    <row r="21" spans="1:13" x14ac:dyDescent="0.3">
      <c r="A21">
        <f>'Full Data'!A21</f>
        <v>0</v>
      </c>
      <c r="B21" t="str">
        <f>'Full Data'!B21</f>
        <v>ERRORS:</v>
      </c>
      <c r="C21" t="str">
        <f>'Full Data'!C21</f>
        <v/>
      </c>
      <c r="D21" t="str">
        <f>'Full Data'!D21</f>
        <v>SIGNAL WORD:</v>
      </c>
      <c r="E21" t="str">
        <f>'Full Data'!E21</f>
        <v/>
      </c>
      <c r="F21" t="str">
        <f>'Full Data'!F21</f>
        <v>Danger</v>
      </c>
      <c r="G21" t="str">
        <f>'Full Data'!G21</f>
        <v>Danger</v>
      </c>
      <c r="H21">
        <f>'Full Data'!H21</f>
        <v>0</v>
      </c>
      <c r="I21">
        <f>'Full Data'!I21</f>
        <v>0</v>
      </c>
      <c r="J21" t="str">
        <f>'Full Data'!J21</f>
        <v>CABINET:</v>
      </c>
      <c r="K21" t="str">
        <f>'Full Data'!K21</f>
        <v>Flamm. Cab. (S3)</v>
      </c>
      <c r="L21">
        <f>'Full Data'!L21</f>
        <v>0</v>
      </c>
      <c r="M21">
        <f>'Full Data'!M21</f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Data</vt:lpstr>
      <vt:lpstr>Success Report</vt:lpstr>
      <vt:lpstr>Export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2025-10-28T20:52:09Z</dcterms:created>
  <dcterms:modified xsi:type="dcterms:W3CDTF">2025-10-28T20:54:21Z</dcterms:modified>
  <cp:category/>
</cp:coreProperties>
</file>