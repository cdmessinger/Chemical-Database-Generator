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1_1D3EB9350B14B8903C4F9E6364C0509B6573CECD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Data" sheetId="1" r:id="rId1"/>
    <sheet name="Success Report" sheetId="2" r:id="rId2"/>
    <sheet name="Expor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" i="3" l="1"/>
  <c r="U11" i="3"/>
  <c r="R11" i="3"/>
  <c r="Q11" i="3"/>
  <c r="P11" i="3"/>
  <c r="N11" i="3"/>
  <c r="M11" i="3"/>
  <c r="L11" i="3"/>
  <c r="K11" i="3"/>
  <c r="I11" i="3"/>
  <c r="H11" i="3"/>
  <c r="E11" i="3"/>
  <c r="C11" i="3"/>
  <c r="B11" i="3"/>
  <c r="A11" i="3"/>
  <c r="V10" i="3"/>
  <c r="U10" i="3"/>
  <c r="R10" i="3"/>
  <c r="Q10" i="3"/>
  <c r="P10" i="3"/>
  <c r="N10" i="3"/>
  <c r="M10" i="3"/>
  <c r="L10" i="3"/>
  <c r="K10" i="3"/>
  <c r="I10" i="3"/>
  <c r="H10" i="3"/>
  <c r="E10" i="3"/>
  <c r="C10" i="3"/>
  <c r="B10" i="3"/>
  <c r="A10" i="3"/>
  <c r="V9" i="3"/>
  <c r="U9" i="3"/>
  <c r="R9" i="3"/>
  <c r="Q9" i="3"/>
  <c r="P9" i="3"/>
  <c r="N9" i="3"/>
  <c r="M9" i="3"/>
  <c r="L9" i="3"/>
  <c r="K9" i="3"/>
  <c r="I9" i="3"/>
  <c r="H9" i="3"/>
  <c r="E9" i="3"/>
  <c r="C9" i="3"/>
  <c r="B9" i="3"/>
  <c r="A9" i="3"/>
  <c r="V8" i="3"/>
  <c r="U8" i="3"/>
  <c r="R8" i="3"/>
  <c r="Q8" i="3"/>
  <c r="P8" i="3"/>
  <c r="N8" i="3"/>
  <c r="M8" i="3"/>
  <c r="L8" i="3"/>
  <c r="K8" i="3"/>
  <c r="I8" i="3"/>
  <c r="H8" i="3"/>
  <c r="E8" i="3"/>
  <c r="C8" i="3"/>
  <c r="B8" i="3"/>
  <c r="A8" i="3"/>
  <c r="V7" i="3"/>
  <c r="U7" i="3"/>
  <c r="R7" i="3"/>
  <c r="Q7" i="3"/>
  <c r="P7" i="3"/>
  <c r="N7" i="3"/>
  <c r="M7" i="3"/>
  <c r="L7" i="3"/>
  <c r="K7" i="3"/>
  <c r="I7" i="3"/>
  <c r="H7" i="3"/>
  <c r="E7" i="3"/>
  <c r="C7" i="3"/>
  <c r="B7" i="3"/>
  <c r="A7" i="3"/>
  <c r="V6" i="3"/>
  <c r="U6" i="3"/>
  <c r="R6" i="3"/>
  <c r="Q6" i="3"/>
  <c r="P6" i="3"/>
  <c r="N6" i="3"/>
  <c r="M6" i="3"/>
  <c r="L6" i="3"/>
  <c r="K6" i="3"/>
  <c r="I6" i="3"/>
  <c r="H6" i="3"/>
  <c r="E6" i="3"/>
  <c r="C6" i="3"/>
  <c r="B6" i="3"/>
  <c r="A6" i="3"/>
  <c r="V5" i="3"/>
  <c r="U5" i="3"/>
  <c r="R5" i="3"/>
  <c r="Q5" i="3"/>
  <c r="P5" i="3"/>
  <c r="N5" i="3"/>
  <c r="M5" i="3"/>
  <c r="L5" i="3"/>
  <c r="K5" i="3"/>
  <c r="I5" i="3"/>
  <c r="H5" i="3"/>
  <c r="E5" i="3"/>
  <c r="C5" i="3"/>
  <c r="B5" i="3"/>
  <c r="A5" i="3"/>
  <c r="V4" i="3"/>
  <c r="U4" i="3"/>
  <c r="R4" i="3"/>
  <c r="Q4" i="3"/>
  <c r="P4" i="3"/>
  <c r="N4" i="3"/>
  <c r="M4" i="3"/>
  <c r="L4" i="3"/>
  <c r="K4" i="3"/>
  <c r="I4" i="3"/>
  <c r="H4" i="3"/>
  <c r="E4" i="3"/>
  <c r="C4" i="3"/>
  <c r="B4" i="3"/>
  <c r="A4" i="3"/>
  <c r="V3" i="3"/>
  <c r="U3" i="3"/>
  <c r="R3" i="3"/>
  <c r="Q3" i="3"/>
  <c r="P3" i="3"/>
  <c r="N3" i="3"/>
  <c r="M3" i="3"/>
  <c r="L3" i="3"/>
  <c r="K3" i="3"/>
  <c r="I3" i="3"/>
  <c r="H3" i="3"/>
  <c r="E3" i="3"/>
  <c r="C3" i="3"/>
  <c r="B3" i="3"/>
  <c r="A3" i="3"/>
  <c r="V2" i="3"/>
  <c r="U2" i="3"/>
  <c r="R2" i="3"/>
  <c r="Q2" i="3"/>
  <c r="P2" i="3"/>
  <c r="N2" i="3"/>
  <c r="M2" i="3"/>
  <c r="L2" i="3"/>
  <c r="K2" i="3"/>
  <c r="I2" i="3"/>
  <c r="H2" i="3"/>
  <c r="E2" i="3"/>
  <c r="C2" i="3"/>
  <c r="B2" i="3"/>
  <c r="A2" i="3"/>
</calcChain>
</file>

<file path=xl/sharedStrings.xml><?xml version="1.0" encoding="utf-8"?>
<sst xmlns="http://schemas.openxmlformats.org/spreadsheetml/2006/main" count="942" uniqueCount="179">
  <si>
    <t>SEARCHED</t>
  </si>
  <si>
    <t>SUMMARY</t>
  </si>
  <si>
    <t/>
  </si>
  <si>
    <t>---------------------------------------------------------------------------------EXPORTS (LINKED TO EXPORT SHEET---------------------------------------------------------------------------------</t>
  </si>
  <si>
    <t>COMPARE</t>
  </si>
  <si>
    <t>IMPORTED</t>
  </si>
  <si>
    <t>PUBCHEM</t>
  </si>
  <si>
    <t>SDS SHEET</t>
  </si>
  <si>
    <t>HAZARDS</t>
  </si>
  <si>
    <t>PICTOGRAMS</t>
  </si>
  <si>
    <t>PICTOGRAM CODES</t>
  </si>
  <si>
    <t>(-) Borneol (NFPA Class IIIA)</t>
  </si>
  <si>
    <t>STATUS CODE:</t>
  </si>
  <si>
    <t>✅✅ Extremely Confident</t>
  </si>
  <si>
    <t>-----------&gt;</t>
  </si>
  <si>
    <t>NAME:</t>
  </si>
  <si>
    <t>(-)-Borneol</t>
  </si>
  <si>
    <t>HAZARDS:</t>
  </si>
  <si>
    <t>Flammable solid
May form combustible dust concentrations in air
Causes skin irritation
Causes serious eye irritation</t>
  </si>
  <si>
    <t>UNITS</t>
  </si>
  <si>
    <t>g</t>
  </si>
  <si>
    <t>&lt;-----------</t>
  </si>
  <si>
    <t xml:space="preserve">NAME: </t>
  </si>
  <si>
    <t>Flammable
Irritant</t>
  </si>
  <si>
    <t>FL, IR</t>
  </si>
  <si>
    <t>CONFIDENCE SCORE:</t>
  </si>
  <si>
    <t>SYNONYMS:</t>
  </si>
  <si>
    <t>endo-(1S)-1,7,7-Trimethylbicyclo[2.2.1]heptan-2-ol</t>
  </si>
  <si>
    <t>QUANTITY</t>
  </si>
  <si>
    <t>CAS NO.:</t>
  </si>
  <si>
    <t>464-45-9</t>
  </si>
  <si>
    <t>464-45-9
507-70-0</t>
  </si>
  <si>
    <t>CONF. SCORE INFO:</t>
  </si>
  <si>
    <t>SUPPLIER</t>
  </si>
  <si>
    <t>Aldrich</t>
  </si>
  <si>
    <t>PICTOGRAM CODES:</t>
  </si>
  <si>
    <t>STORAGE NOTES</t>
  </si>
  <si>
    <t>Keep containers tightly closed in a dry, cool and well-ventilated place. Keep away from heat, sparks and flame. Flammables area. Incompatible Materials. Strong oxidizing agents.</t>
  </si>
  <si>
    <t>L-Borneol
Linderol
NGAI camphor
l-2-Camphanol
(1S,2R,4S)-1,7,7-trimethylbicyclo[2.2.1]heptan-2-ol</t>
  </si>
  <si>
    <t>CAS NO:</t>
  </si>
  <si>
    <t>SDS LINK:</t>
  </si>
  <si>
    <t>https://www.fishersci.com/store/msds?partNumber=AAA1268430&amp;productDescription=borneol-assay-g&amp;vendorId=VN00024248&amp;keyword=true&amp;countryCode=US&amp;language=en</t>
  </si>
  <si>
    <t>FORMULA:</t>
  </si>
  <si>
    <t>C10H18O</t>
  </si>
  <si>
    <t>H228 (99%): Flammable solid [Danger Flammable solids]
H315 (30.4%): Causes skin irritation [Warning Skin corrosion/irritation]
H317 (23.6%): May cause an allergic skin reaction [Warning Sensitization, Skin]
H371: May cause damage to organs [Warning Specific target organ toxicity, single exposure]
Not Classified</t>
  </si>
  <si>
    <t>Flammable
Irritant
Health Hazard</t>
  </si>
  <si>
    <t>FL, IR, CA</t>
  </si>
  <si>
    <t>CLASS:</t>
  </si>
  <si>
    <t>Organic compound</t>
  </si>
  <si>
    <t>LOCATION:</t>
  </si>
  <si>
    <t>6-144</t>
  </si>
  <si>
    <t>FORMULA</t>
  </si>
  <si>
    <t>MW:</t>
  </si>
  <si>
    <t>154.25</t>
  </si>
  <si>
    <t>ERRORS:</t>
  </si>
  <si>
    <t>SIGNAL WORD:</t>
  </si>
  <si>
    <t>Danger</t>
  </si>
  <si>
    <t>SHELF:</t>
  </si>
  <si>
    <t>B-3</t>
  </si>
  <si>
    <t>SDS REV. DATE:</t>
  </si>
  <si>
    <t>26-Mar-2024</t>
  </si>
  <si>
    <t>(-) Carvone (Fp 190.4 deg F)</t>
  </si>
  <si>
    <t>L(-)-Carvone</t>
  </si>
  <si>
    <t>May cause an allergic skin reaction
Flammable liquids</t>
  </si>
  <si>
    <t>mL</t>
  </si>
  <si>
    <t>(-)-Carvone</t>
  </si>
  <si>
    <t>Irritant
Flammable</t>
  </si>
  <si>
    <t>IR, FL</t>
  </si>
  <si>
    <t>(R)-(-)-p-Mentha-6,8-dien-2-one</t>
  </si>
  <si>
    <t>6485-40-1</t>
  </si>
  <si>
    <t>Fluka</t>
  </si>
  <si>
    <t>Keep containers tightly closed in a dry, cool and well-ventilated place. Keep away from heat, sparks and flame. Incompatible Materials. Strong oxidizing agents. Strong acids. Strong bases.</t>
  </si>
  <si>
    <t>(R)-(-)-Carvone
l-Carvone
L(-)-Carvone
(R)-Carvone
Levo-carvone</t>
  </si>
  <si>
    <t>https://www.fishersci.com/store/msds?partNumber=AC154591000&amp;productDescription=l-carvone-gr&amp;vendorId=VN00032119&amp;keyword=true&amp;countryCode=US&amp;language=en</t>
  </si>
  <si>
    <t>C10H14O</t>
  </si>
  <si>
    <t>H317: May cause an allergic skin reaction [Warning Sensitization, Skin]
H302 (79.8%): Harmful if swallowed [Warning Acute toxicity, oral]
H227: Combustible liquid [Warning Flammable liquids]</t>
  </si>
  <si>
    <t>Irritant</t>
  </si>
  <si>
    <t>IR</t>
  </si>
  <si>
    <t xml:space="preserve">6-144 </t>
  </si>
  <si>
    <t>150.22</t>
  </si>
  <si>
    <t>Warning</t>
  </si>
  <si>
    <t>24-Dec-2021</t>
  </si>
  <si>
    <t>(+) Carvone (Fp 190.4 deg F)</t>
  </si>
  <si>
    <t>(S)-(+)-Carvone</t>
  </si>
  <si>
    <t>May cause an allergic skin reaction</t>
  </si>
  <si>
    <t>d-Carvone</t>
  </si>
  <si>
    <t>(S)-(+)-p-Mentha-6,8-dien-2-one</t>
  </si>
  <si>
    <t>2244-16-8</t>
  </si>
  <si>
    <r>
      <rPr>
        <u/>
        <sz val="11"/>
        <rFont val="Calibri"/>
      </rPr>
      <t xml:space="preserve">Chemical Names (normalized) do not match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s carvone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d carvone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-5</t>
    </r>
  </si>
  <si>
    <t>Keep containers tightly closed in a dry, cool and well-ventilated place. Store under an inert atmosphere. Protect from light. Incompatible Materials. Strong oxidizing agents. Strong reducing agents.</t>
  </si>
  <si>
    <t>(S)-(+)-Carvone
(+)-Carvone
(S)-Carvone
Carvone, (+)-
(+)-(S)-Carvone</t>
  </si>
  <si>
    <t>https://www.fishersci.com/store/msds?partNumber=AAL0713014&amp;productDescription=s-carvone-g&amp;vendorId=VN00024248&amp;keyword=true&amp;countryCode=US&amp;language=en</t>
  </si>
  <si>
    <t>H317: May cause an allergic skin reaction [Warning Sensitization, Skin]
H302 (16.3%): Harmful if swallowed [Warning Acute toxicity, oral]</t>
  </si>
  <si>
    <t>27-Mar-2024</t>
  </si>
  <si>
    <t>1, 10-Phenanthroline monohydrate</t>
  </si>
  <si>
    <t>1,10-Phenanthroline monohydrate</t>
  </si>
  <si>
    <t>Toxic if swallowed</t>
  </si>
  <si>
    <t>1,10-Phenanthroline hydrate</t>
  </si>
  <si>
    <t>Acute Toxicity</t>
  </si>
  <si>
    <t>AC</t>
  </si>
  <si>
    <t>o-Phenanthroline monohydrate</t>
  </si>
  <si>
    <t>5144-89-8</t>
  </si>
  <si>
    <r>
      <rPr>
        <u/>
        <sz val="11"/>
        <rFont val="Calibri"/>
      </rPr>
      <t xml:space="preserve">Chemical Names (normalized) do not match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1 10 phenanthroline monohydrate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1 10 phenanthroline hydrate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-5</t>
    </r>
  </si>
  <si>
    <t>Kodak</t>
  </si>
  <si>
    <t>Keep containers tightly closed in a dry, cool and well-ventilated place. Keep under nitrogen. Incompatible Materials. Strong oxidizing agents. Strong acids.</t>
  </si>
  <si>
    <t>RefChem:855306
1,10-Phenanthroline monohydrate
o-Phenanthroline monohydrate
MFCD00149973
phenanthroline monohydrate</t>
  </si>
  <si>
    <t>https://www.fishersci.com/store/msds?partNumber=AA3091009&amp;productDescription=phenanthroline-acs-g&amp;vendorId=VN00024248&amp;keyword=true&amp;countryCode=US&amp;language=en</t>
  </si>
  <si>
    <t>C12H8N2.H2O</t>
  </si>
  <si>
    <t>H301 (100%): Toxic if swallowed [Danger Acute toxicity, oral]
H400 (96.7%): Very toxic to aquatic life [Warning Hazardous to the aquatic environment, acute hazard]
H410 (99.2%): Very toxic to aquatic life with long lasting effects [Warning Hazardous to the aquatic environment, long-term hazard]</t>
  </si>
  <si>
    <t>Acute Toxic
Environmental Hazard</t>
  </si>
  <si>
    <t>AC, EN</t>
  </si>
  <si>
    <t>198.22</t>
  </si>
  <si>
    <t>198.23</t>
  </si>
  <si>
    <t>B-5</t>
  </si>
  <si>
    <t>29-Mar-2024</t>
  </si>
  <si>
    <t xml:space="preserve">1, 10-Phenanthroline monohydrochloride monohydrate </t>
  </si>
  <si>
    <t>❌ Fail</t>
  </si>
  <si>
    <t>1,10-Phenanthroline monohydrochloride monohydrate</t>
  </si>
  <si>
    <t>1,10-Phenanthroline hydrochloride</t>
  </si>
  <si>
    <t>No information available</t>
  </si>
  <si>
    <t>3829-86-5</t>
  </si>
  <si>
    <t>22802-96-6
3829-86-5
3829865</t>
  </si>
  <si>
    <t>18851-33-7</t>
  </si>
  <si>
    <r>
      <rPr>
        <u/>
        <sz val="11"/>
        <rFont val="Calibri"/>
      </rPr>
      <t xml:space="preserve">SDS CAS number does not match seached CAS OR a PubChem CAS number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18851-33-7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22802-96-6,3829-86-5,3829865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-40</t>
    </r>
    <r>
      <rPr>
        <sz val="11"/>
        <color theme="1"/>
        <rFont val="Calibri"/>
        <family val="2"/>
        <scheme val="minor"/>
      </rPr>
      <t xml:space="preserve">
────────────────────
</t>
    </r>
    <r>
      <rPr>
        <u/>
        <sz val="11"/>
        <rFont val="Calibri"/>
      </rPr>
      <t xml:space="preserve">Chemical Names (normalized) do not match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1 10 phenanthroline monohydrochloride monohydrate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1 10 phenanthroline hydrochloride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-5</t>
    </r>
    <r>
      <rPr>
        <sz val="11"/>
        <color theme="1"/>
        <rFont val="Calibri"/>
        <family val="2"/>
        <scheme val="minor"/>
      </rPr>
      <t xml:space="preserve">
────────────────────
</t>
    </r>
    <r>
      <rPr>
        <u/>
        <sz val="11"/>
        <rFont val="Calibri"/>
      </rPr>
      <t xml:space="preserve">Molecular Formulas (normalized) do not match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C12H8N2.HCL.H2O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C12H9CLN2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-10</t>
    </r>
    <r>
      <rPr>
        <sz val="11"/>
        <color theme="1"/>
        <rFont val="Calibri"/>
        <family val="2"/>
        <scheme val="minor"/>
      </rPr>
      <t xml:space="preserve">
────────────────────
</t>
    </r>
    <r>
      <rPr>
        <u/>
        <sz val="11"/>
        <rFont val="Calibri"/>
      </rPr>
      <t xml:space="preserve">Molecular Weight NOT within +/- 1 g/mol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234.69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216.66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-20</t>
    </r>
  </si>
  <si>
    <t>J.T. Baker</t>
  </si>
  <si>
    <t>Keep containers tightly closed in a dry, cool and well-ventilated place. Incompatible Materials. Strong oxidizing agents. Strong acids. Strong bases.</t>
  </si>
  <si>
    <t>1,10-Phenanthroline, monohydrochloride
Phenanthroline hydrochloride
1,10-Diazaphenanthrene hydrochloride
1,10-Phenanthroline, hydrochloride (1:1)
NSC 4265</t>
  </si>
  <si>
    <t>https://www.fishersci.com/store/msds?partNumber=AC130141000&amp;productDescription=-phenanthroline-mono-gr&amp;vendorId=VN00032119&amp;keyword=true&amp;countryCode=US&amp;language=en</t>
  </si>
  <si>
    <t>C12H9ClN2</t>
  </si>
  <si>
    <t>C12H8N2.HCl.H2O</t>
  </si>
  <si>
    <t>H301 (92.6%): Toxic if swallowed [Danger Acute toxicity, oral]
H400 (94.4%): Very toxic to aquatic life [Warning Hazardous to the aquatic environment, acute hazard]
H410 (94.4%): Very toxic to aquatic life with long lasting effects [Warning Hazardous to the aquatic environment, long-term hazard]</t>
  </si>
  <si>
    <t>216.66</t>
  </si>
  <si>
    <t>234.69</t>
  </si>
  <si>
    <t>1,1,1 Trichloro 2 methyl propanol hemihydrate</t>
  </si>
  <si>
    <t>✅ Pass</t>
  </si>
  <si>
    <t>1,1,1-Trichloro-2-methyl-2-propanol hemihydrate</t>
  </si>
  <si>
    <t>Causes skin irritation
Causes serious eye irritation
May cause respiratory irritation</t>
  </si>
  <si>
    <t>beta,beta,beta-Trichloro-tert-butyl alcohol</t>
  </si>
  <si>
    <t>6001-64-5</t>
  </si>
  <si>
    <r>
      <rPr>
        <u/>
        <sz val="11"/>
        <rFont val="Calibri"/>
      </rPr>
      <t xml:space="preserve">Molecular Formulas (normalized) do not match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C4H7CL3O.0.5H2O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C8H16CL6O3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-10</t>
    </r>
    <r>
      <rPr>
        <sz val="11"/>
        <color theme="1"/>
        <rFont val="Calibri"/>
        <family val="2"/>
        <scheme val="minor"/>
      </rPr>
      <t xml:space="preserve">
────────────────────
</t>
    </r>
    <r>
      <rPr>
        <u/>
        <sz val="11"/>
        <rFont val="Calibri"/>
      </rPr>
      <t xml:space="preserve">Molecular Weight NOT within +/- 1 g/mol
</t>
    </r>
    <r>
      <rPr>
        <sz val="11"/>
        <color theme="1"/>
        <rFont val="Calibri"/>
        <family val="2"/>
        <scheme val="minor"/>
      </rPr>
      <t xml:space="preserve">SDS: </t>
    </r>
    <r>
      <rPr>
        <b/>
        <sz val="11"/>
        <rFont val="Calibri"/>
      </rPr>
      <t xml:space="preserve">186.47
</t>
    </r>
    <r>
      <rPr>
        <sz val="11"/>
        <color theme="1"/>
        <rFont val="Calibri"/>
        <family val="2"/>
        <scheme val="minor"/>
      </rPr>
      <t xml:space="preserve">PubChem: </t>
    </r>
    <r>
      <rPr>
        <b/>
        <sz val="11"/>
        <rFont val="Calibri"/>
      </rPr>
      <t xml:space="preserve">372.9
</t>
    </r>
    <r>
      <rPr>
        <sz val="11"/>
        <color theme="1"/>
        <rFont val="Calibri"/>
        <family val="2"/>
        <scheme val="minor"/>
      </rPr>
      <t xml:space="preserve">Penalty: </t>
    </r>
    <r>
      <rPr>
        <b/>
        <sz val="11"/>
        <rFont val="Calibri"/>
      </rPr>
      <t>-20</t>
    </r>
  </si>
  <si>
    <t>Eastman Kodak</t>
  </si>
  <si>
    <t>Keep in a dry, cool and well-ventilated place. Keep container tightly closed. Incompatible Materials. Acids. Strong oxidizing agents. Acid anhydrides. Acid chlorides. Metals.</t>
  </si>
  <si>
    <t>Chlorobutanol hemihydrate
3X4P6271OX
2-Propanol, 1,1,1-trichloro-2-methyl-, hydrate (2:1)
CHLOROBUTANOL HEMIHYDRATE [II]
2-Propanol, 1,1,1-trichloro-2-methyl-, hemihydrate</t>
  </si>
  <si>
    <t>https://www.fishersci.com/store/msds?partNumber=AC150305000&amp;productDescription=--trichloromethyl-gr&amp;vendorId=VN00032119&amp;keyword=true&amp;countryCode=US&amp;language=en</t>
  </si>
  <si>
    <t>C8H16Cl6O3</t>
  </si>
  <si>
    <t>C4H7Cl3O.0.5H2O</t>
  </si>
  <si>
    <t>H302 (100%): Harmful if swallowed [Warning Acute toxicity, oral]
H315 (67.7%): Causes skin irritation [Warning Skin corrosion/irritation]
H319 (67.7%): Causes serious eye irritation [Warning Serious eye damage/eye irritation]
H335 (66.1%): May cause respiratory irritation [Warning Specific target organ toxicity, single exposure; Respiratory tract irritation]</t>
  </si>
  <si>
    <t>372.9</t>
  </si>
  <si>
    <t>186.47</t>
  </si>
  <si>
    <t>B- 6</t>
  </si>
  <si>
    <r>
      <rPr>
        <b/>
        <u/>
        <sz val="16"/>
        <rFont val="Calibri"/>
      </rPr>
      <t xml:space="preserve">Summary and Success Report
</t>
    </r>
    <r>
      <rPr>
        <sz val="11"/>
        <color theme="1"/>
        <rFont val="Calibri"/>
        <family val="2"/>
        <scheme val="minor"/>
      </rPr>
      <t xml:space="preserve">
Date:
</t>
    </r>
    <r>
      <rPr>
        <b/>
        <u/>
        <sz val="11"/>
        <rFont val="Calibri"/>
      </rPr>
      <t>11/26/2025, 3:31:01 PM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 xml:space="preserve">Runtime:
</t>
    </r>
    <r>
      <rPr>
        <b/>
        <u/>
        <sz val="11"/>
        <rFont val="Calibri"/>
      </rPr>
      <t>1minutes, 1.5seconds.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 xml:space="preserve">Total Chemicals ran:
</t>
    </r>
    <r>
      <rPr>
        <b/>
        <u/>
        <sz val="11"/>
        <rFont val="Calibri"/>
      </rPr>
      <t>10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Successful SDS Sheets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8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80</t>
    </r>
    <r>
      <rPr>
        <b/>
        <u/>
        <sz val="11"/>
        <rFont val="Calibri"/>
      </rPr>
      <t>%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SDS Sheets that need review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0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0</t>
    </r>
    <r>
      <rPr>
        <b/>
        <u/>
        <sz val="11"/>
        <rFont val="Calibri"/>
      </rPr>
      <t>%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Failed SDS Sheets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2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20</t>
    </r>
    <r>
      <rPr>
        <b/>
        <u/>
        <sz val="11"/>
        <rFont val="Calibri"/>
      </rPr>
      <t>%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Errors encountered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0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0</t>
    </r>
    <r>
      <rPr>
        <b/>
        <u/>
        <sz val="11"/>
        <rFont val="Calibri"/>
      </rPr>
      <t>%</t>
    </r>
  </si>
  <si>
    <t>FAILED CHEMICAL NAME</t>
  </si>
  <si>
    <t>ROW NUMBER IN FULL DATA SHEET</t>
  </si>
  <si>
    <t>30</t>
  </si>
  <si>
    <t>37</t>
  </si>
  <si>
    <t>ChemicalName</t>
  </si>
  <si>
    <t>Formula</t>
  </si>
  <si>
    <t>Synonyms</t>
  </si>
  <si>
    <t>CatalogCode</t>
  </si>
  <si>
    <t>CompanyName</t>
  </si>
  <si>
    <t>Grade</t>
  </si>
  <si>
    <t>Disposal</t>
  </si>
  <si>
    <t>CAS</t>
  </si>
  <si>
    <t>Class</t>
  </si>
  <si>
    <t>CompatibleFamily</t>
  </si>
  <si>
    <t>SignalWord</t>
  </si>
  <si>
    <t>HazardStatement</t>
  </si>
  <si>
    <t>GHSCodes</t>
  </si>
  <si>
    <t>SDSURL</t>
  </si>
  <si>
    <t>School</t>
  </si>
  <si>
    <t>StoreRoom</t>
  </si>
  <si>
    <t>Shelf</t>
  </si>
  <si>
    <t>UOM</t>
  </si>
  <si>
    <t>LastUsed</t>
  </si>
  <si>
    <t>MinReorderAmount</t>
  </si>
  <si>
    <t>Amount</t>
  </si>
  <si>
    <t>Notes</t>
  </si>
  <si>
    <t>KitCatalog</t>
  </si>
  <si>
    <t>CSCC TUNXIS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</si>
</sst>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DDDDDD"/>
      <name val="Calibri"/>
    </font>
    <font>
      <b/>
      <sz val="11"/>
      <color rgb="FFDDDDDD"/>
      <name val="Calibri"/>
    </font>
    <font>
      <u/>
      <sz val="11"/>
      <color rgb="FF0000FF"/>
      <name val="Calibri"/>
    </font>
    <font>
      <b/>
      <sz val="11"/>
      <name val="Calibri"/>
    </font>
    <font>
      <u/>
      <sz val="11"/>
      <name val="Calibri"/>
    </font>
    <font>
      <b/>
      <u/>
      <sz val="16"/>
      <name val="Calibri"/>
    </font>
    <font>
      <b/>
      <u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28E482"/>
      </patternFill>
    </fill>
    <fill>
      <patternFill patternType="solid">
        <fgColor rgb="FF686B69"/>
      </patternFill>
    </fill>
    <fill>
      <patternFill patternType="solid">
        <fgColor rgb="FFBFD1D6"/>
      </patternFill>
    </fill>
    <fill>
      <patternFill patternType="solid">
        <fgColor rgb="FFDA5D4C"/>
      </patternFill>
    </fill>
    <fill>
      <patternFill patternType="solid">
        <fgColor rgb="FF9FCF74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wrapText="1"/>
    </xf>
    <xf numFmtId="0" fontId="2" fillId="2" borderId="1" xfId="0" applyFont="1" applyFill="1" applyBorder="1"/>
    <xf numFmtId="0" fontId="0" fillId="5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0" fillId="2" borderId="0" xfId="0" applyFill="1" applyAlignment="1">
      <alignment horizontal="left" vertical="center" wrapText="1"/>
    </xf>
    <xf numFmtId="0" fontId="2" fillId="2" borderId="0" xfId="0" applyFont="1" applyFill="1"/>
    <xf numFmtId="0" fontId="2" fillId="2" borderId="0" xfId="0" applyFont="1" applyFill="1" applyAlignment="1">
      <alignment horizontal="right" wrapText="1"/>
    </xf>
    <xf numFmtId="0" fontId="0" fillId="2" borderId="0" xfId="0" applyFill="1" applyAlignment="1">
      <alignment horizontal="left" wrapText="1"/>
    </xf>
    <xf numFmtId="0" fontId="0" fillId="6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wrapText="1"/>
    </xf>
    <xf numFmtId="0" fontId="3" fillId="6" borderId="1" xfId="0" applyFont="1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wrapText="1"/>
    </xf>
    <xf numFmtId="0" fontId="3" fillId="7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 wrapText="1"/>
    </xf>
    <xf numFmtId="0" fontId="0" fillId="2" borderId="0" xfId="0" applyFill="1"/>
    <xf numFmtId="0" fontId="0" fillId="2" borderId="0" xfId="0" applyFill="1" applyAlignment="1">
      <alignment horizontal="right" wrapText="1"/>
    </xf>
    <xf numFmtId="0" fontId="0" fillId="0" borderId="0" xfId="0" applyAlignment="1">
      <alignment horizontal="center" wrapText="1"/>
    </xf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ishersci.com/store/msds?partNumber=AC150305000&amp;productDescription=--trichloromethyl-gr&amp;vendorId=VN00032119&amp;keyword=true&amp;countryCode=US&amp;language=en" TargetMode="External"/><Relationship Id="rId3" Type="http://schemas.openxmlformats.org/officeDocument/2006/relationships/hyperlink" Target="https://www.fishersci.com/store/msds?partNumber=AAL0713014&amp;productDescription=s-carvone-g&amp;vendorId=VN00024248&amp;keyword=true&amp;countryCode=US&amp;language=en" TargetMode="External"/><Relationship Id="rId7" Type="http://schemas.openxmlformats.org/officeDocument/2006/relationships/hyperlink" Target="https://www.fishersci.com/store/msds?partNumber=AC150305000&amp;productDescription=--trichloromethyl-gr&amp;vendorId=VN00032119&amp;keyword=true&amp;countryCode=US&amp;language=en" TargetMode="External"/><Relationship Id="rId2" Type="http://schemas.openxmlformats.org/officeDocument/2006/relationships/hyperlink" Target="https://www.fishersci.com/store/msds?partNumber=AC154591000&amp;productDescription=l-carvone-gr&amp;vendorId=VN00032119&amp;keyword=true&amp;countryCode=US&amp;language=en" TargetMode="External"/><Relationship Id="rId1" Type="http://schemas.openxmlformats.org/officeDocument/2006/relationships/hyperlink" Target="https://www.fishersci.com/store/msds?partNumber=AAA1268430&amp;productDescription=borneol-assay-g&amp;vendorId=VN00024248&amp;keyword=true&amp;countryCode=US&amp;language=en" TargetMode="External"/><Relationship Id="rId6" Type="http://schemas.openxmlformats.org/officeDocument/2006/relationships/hyperlink" Target="https://www.fishersci.com/store/msds?partNumber=AC130141000&amp;productDescription=-phenanthroline-mono-gr&amp;vendorId=VN00032119&amp;keyword=true&amp;countryCode=US&amp;language=en" TargetMode="External"/><Relationship Id="rId5" Type="http://schemas.openxmlformats.org/officeDocument/2006/relationships/hyperlink" Target="https://www.fishersci.com/store/msds?partNumber=AC130141000&amp;productDescription=-phenanthroline-mono-gr&amp;vendorId=VN00032119&amp;keyword=true&amp;countryCode=US&amp;language=en" TargetMode="External"/><Relationship Id="rId10" Type="http://schemas.openxmlformats.org/officeDocument/2006/relationships/hyperlink" Target="https://www.fishersci.com/store/msds?partNumber=AC150305000&amp;productDescription=--trichloromethyl-gr&amp;vendorId=VN00032119&amp;keyword=true&amp;countryCode=US&amp;language=en" TargetMode="External"/><Relationship Id="rId4" Type="http://schemas.openxmlformats.org/officeDocument/2006/relationships/hyperlink" Target="https://www.fishersci.com/store/msds?partNumber=AA3091009&amp;productDescription=phenanthroline-acs-g&amp;vendorId=VN00024248&amp;keyword=true&amp;countryCode=US&amp;language=en" TargetMode="External"/><Relationship Id="rId9" Type="http://schemas.openxmlformats.org/officeDocument/2006/relationships/hyperlink" Target="https://www.fishersci.com/store/msds?partNumber=AC150305000&amp;productDescription=--trichloromethyl-gr&amp;vendorId=VN00032119&amp;keyword=true&amp;countryCode=US&amp;language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1"/>
  <sheetViews>
    <sheetView tabSelected="1" workbookViewId="0">
      <pane xSplit="1" ySplit="1" topLeftCell="F2" activePane="bottomRight" state="frozen"/>
      <selection pane="topRight"/>
      <selection pane="bottomLeft"/>
      <selection pane="bottomRight" activeCell="H2" sqref="H2:H3"/>
    </sheetView>
  </sheetViews>
  <sheetFormatPr defaultRowHeight="14.4" x14ac:dyDescent="0.3"/>
  <cols>
    <col min="1" max="1" width="53" style="1" customWidth="1"/>
    <col min="2" max="2" width="18" style="2" customWidth="1"/>
    <col min="3" max="3" width="24" style="3" customWidth="1"/>
    <col min="4" max="4" width="18" style="2" customWidth="1"/>
    <col min="5" max="5" width="18" customWidth="1"/>
    <col min="6" max="6" width="60" style="3" customWidth="1"/>
    <col min="7" max="7" width="18" style="2" customWidth="1"/>
    <col min="8" max="8" width="60" style="3" customWidth="1"/>
    <col min="9" max="9" width="18" style="4" customWidth="1"/>
    <col min="10" max="10" width="60" style="5" customWidth="1"/>
    <col min="11" max="11" width="18" customWidth="1"/>
    <col min="12" max="12" width="18" style="2" customWidth="1"/>
    <col min="13" max="13" width="53" style="3" customWidth="1"/>
    <col min="14" max="14" width="60" style="3" customWidth="1"/>
    <col min="15" max="15" width="52" style="3" customWidth="1"/>
    <col min="16" max="16" width="60" style="3" customWidth="1"/>
    <col min="17" max="17" width="34" style="3" customWidth="1"/>
    <col min="18" max="18" width="17" style="3" customWidth="1"/>
  </cols>
  <sheetData>
    <row r="1" spans="1:18" s="6" customFormat="1" ht="21" x14ac:dyDescent="0.3">
      <c r="A1" s="7" t="s">
        <v>0</v>
      </c>
      <c r="B1" s="34" t="s">
        <v>1</v>
      </c>
      <c r="C1" s="34"/>
      <c r="D1" s="7" t="s">
        <v>2</v>
      </c>
      <c r="E1" s="34" t="s">
        <v>3</v>
      </c>
      <c r="F1" s="34"/>
      <c r="G1" s="34"/>
      <c r="H1" s="34"/>
      <c r="I1" s="34"/>
      <c r="J1" s="34"/>
      <c r="K1" s="7" t="s">
        <v>2</v>
      </c>
      <c r="L1" s="7" t="s">
        <v>4</v>
      </c>
      <c r="M1" s="7" t="s">
        <v>5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10</v>
      </c>
    </row>
    <row r="2" spans="1:18" x14ac:dyDescent="0.3">
      <c r="A2" s="35" t="s">
        <v>11</v>
      </c>
      <c r="B2" s="8" t="s">
        <v>12</v>
      </c>
      <c r="C2" s="9" t="s">
        <v>13</v>
      </c>
      <c r="D2" s="10" t="s">
        <v>14</v>
      </c>
      <c r="E2" s="11" t="s">
        <v>15</v>
      </c>
      <c r="F2" s="9" t="s">
        <v>16</v>
      </c>
      <c r="G2" s="36" t="s">
        <v>17</v>
      </c>
      <c r="H2" s="37" t="s">
        <v>18</v>
      </c>
      <c r="I2" s="12" t="s">
        <v>19</v>
      </c>
      <c r="J2" s="13" t="s">
        <v>20</v>
      </c>
      <c r="K2" s="14" t="s">
        <v>21</v>
      </c>
      <c r="L2" s="8" t="s">
        <v>22</v>
      </c>
      <c r="M2" s="9" t="s">
        <v>11</v>
      </c>
      <c r="N2" s="9" t="s">
        <v>16</v>
      </c>
      <c r="O2" s="9" t="s">
        <v>16</v>
      </c>
      <c r="P2" s="37" t="s">
        <v>18</v>
      </c>
      <c r="Q2" s="37" t="s">
        <v>23</v>
      </c>
      <c r="R2" s="37" t="s">
        <v>24</v>
      </c>
    </row>
    <row r="3" spans="1:18" ht="28.8" x14ac:dyDescent="0.3">
      <c r="A3" s="35"/>
      <c r="B3" s="8" t="s">
        <v>25</v>
      </c>
      <c r="C3" s="9">
        <v>100</v>
      </c>
      <c r="D3" s="10" t="s">
        <v>14</v>
      </c>
      <c r="E3" s="11" t="s">
        <v>26</v>
      </c>
      <c r="F3" s="9" t="s">
        <v>27</v>
      </c>
      <c r="G3" s="36"/>
      <c r="H3" s="37"/>
      <c r="I3" s="12" t="s">
        <v>28</v>
      </c>
      <c r="J3" s="13">
        <v>50</v>
      </c>
      <c r="K3" s="14" t="s">
        <v>21</v>
      </c>
      <c r="L3" s="8" t="s">
        <v>29</v>
      </c>
      <c r="M3" s="9" t="s">
        <v>30</v>
      </c>
      <c r="N3" s="9" t="s">
        <v>31</v>
      </c>
      <c r="O3" s="9" t="s">
        <v>30</v>
      </c>
      <c r="P3" s="37"/>
      <c r="Q3" s="37"/>
      <c r="R3" s="37"/>
    </row>
    <row r="4" spans="1:18" ht="72" x14ac:dyDescent="0.3">
      <c r="A4" s="35"/>
      <c r="B4" s="36" t="s">
        <v>32</v>
      </c>
      <c r="C4" s="37" t="s">
        <v>2</v>
      </c>
      <c r="D4" s="10" t="s">
        <v>14</v>
      </c>
      <c r="E4" s="11" t="s">
        <v>33</v>
      </c>
      <c r="F4" s="9" t="s">
        <v>34</v>
      </c>
      <c r="G4" s="8" t="s">
        <v>35</v>
      </c>
      <c r="H4" s="9" t="s">
        <v>24</v>
      </c>
      <c r="I4" s="38" t="s">
        <v>36</v>
      </c>
      <c r="J4" s="39" t="s">
        <v>37</v>
      </c>
      <c r="K4" s="14" t="s">
        <v>21</v>
      </c>
      <c r="L4" s="8" t="s">
        <v>26</v>
      </c>
      <c r="M4" s="15" t="s">
        <v>2</v>
      </c>
      <c r="N4" s="9" t="s">
        <v>38</v>
      </c>
      <c r="O4" s="9" t="s">
        <v>27</v>
      </c>
      <c r="P4" s="37"/>
      <c r="Q4" s="37"/>
      <c r="R4" s="37"/>
    </row>
    <row r="5" spans="1:18" ht="57.6" x14ac:dyDescent="0.3">
      <c r="A5" s="35" t="s">
        <v>30</v>
      </c>
      <c r="B5" s="36"/>
      <c r="C5" s="37"/>
      <c r="D5" s="10" t="s">
        <v>14</v>
      </c>
      <c r="E5" s="11" t="s">
        <v>39</v>
      </c>
      <c r="F5" s="9" t="s">
        <v>30</v>
      </c>
      <c r="G5" s="8" t="s">
        <v>40</v>
      </c>
      <c r="H5" s="16" t="s">
        <v>41</v>
      </c>
      <c r="I5" s="38"/>
      <c r="J5" s="39"/>
      <c r="K5" s="14" t="s">
        <v>21</v>
      </c>
      <c r="L5" s="8" t="s">
        <v>42</v>
      </c>
      <c r="M5" s="15" t="s">
        <v>2</v>
      </c>
      <c r="N5" s="9" t="s">
        <v>43</v>
      </c>
      <c r="O5" s="9" t="s">
        <v>43</v>
      </c>
      <c r="P5" s="37" t="s">
        <v>44</v>
      </c>
      <c r="Q5" s="37" t="s">
        <v>45</v>
      </c>
      <c r="R5" s="37" t="s">
        <v>46</v>
      </c>
    </row>
    <row r="6" spans="1:18" x14ac:dyDescent="0.3">
      <c r="A6" s="35"/>
      <c r="B6" s="36"/>
      <c r="C6" s="37"/>
      <c r="D6" s="10" t="s">
        <v>14</v>
      </c>
      <c r="E6" s="11" t="s">
        <v>47</v>
      </c>
      <c r="F6" s="9" t="s">
        <v>48</v>
      </c>
      <c r="G6" s="8" t="s">
        <v>49</v>
      </c>
      <c r="H6" s="9" t="s">
        <v>50</v>
      </c>
      <c r="I6" s="12" t="s">
        <v>51</v>
      </c>
      <c r="J6" s="13" t="s">
        <v>43</v>
      </c>
      <c r="K6" s="14" t="s">
        <v>21</v>
      </c>
      <c r="L6" s="8" t="s">
        <v>52</v>
      </c>
      <c r="M6" s="15" t="s">
        <v>2</v>
      </c>
      <c r="N6" s="9" t="s">
        <v>53</v>
      </c>
      <c r="O6" s="9" t="s">
        <v>53</v>
      </c>
      <c r="P6" s="37"/>
      <c r="Q6" s="37"/>
      <c r="R6" s="37"/>
    </row>
    <row r="7" spans="1:18" x14ac:dyDescent="0.3">
      <c r="A7" s="35"/>
      <c r="B7" s="8" t="s">
        <v>54</v>
      </c>
      <c r="C7" s="9" t="s">
        <v>2</v>
      </c>
      <c r="D7" s="10" t="s">
        <v>14</v>
      </c>
      <c r="E7" s="11" t="s">
        <v>55</v>
      </c>
      <c r="F7" s="9" t="s">
        <v>56</v>
      </c>
      <c r="G7" s="8" t="s">
        <v>57</v>
      </c>
      <c r="H7" s="9" t="s">
        <v>58</v>
      </c>
      <c r="I7" s="12" t="s">
        <v>59</v>
      </c>
      <c r="J7" s="13" t="s">
        <v>60</v>
      </c>
      <c r="K7" s="14" t="s">
        <v>21</v>
      </c>
      <c r="L7" s="8" t="s">
        <v>55</v>
      </c>
      <c r="M7" s="15" t="s">
        <v>2</v>
      </c>
      <c r="N7" s="9" t="s">
        <v>56</v>
      </c>
      <c r="O7" s="9" t="s">
        <v>56</v>
      </c>
      <c r="P7" s="37"/>
      <c r="Q7" s="37"/>
      <c r="R7" s="37"/>
    </row>
    <row r="8" spans="1:18" x14ac:dyDescent="0.3">
      <c r="A8" s="17"/>
      <c r="B8" s="18"/>
      <c r="C8" s="19"/>
      <c r="D8" s="18"/>
      <c r="E8" s="20"/>
      <c r="F8" s="19"/>
      <c r="G8" s="18"/>
      <c r="H8" s="19"/>
      <c r="I8" s="21"/>
      <c r="J8" s="22"/>
      <c r="K8" s="20"/>
      <c r="L8" s="18"/>
      <c r="M8" s="19"/>
      <c r="N8" s="19"/>
      <c r="O8" s="19"/>
      <c r="P8" s="19"/>
      <c r="Q8" s="19"/>
      <c r="R8" s="19"/>
    </row>
    <row r="9" spans="1:18" x14ac:dyDescent="0.3">
      <c r="A9" s="35" t="s">
        <v>61</v>
      </c>
      <c r="B9" s="8" t="s">
        <v>12</v>
      </c>
      <c r="C9" s="9" t="s">
        <v>13</v>
      </c>
      <c r="D9" s="10" t="s">
        <v>14</v>
      </c>
      <c r="E9" s="11" t="s">
        <v>15</v>
      </c>
      <c r="F9" s="9" t="s">
        <v>62</v>
      </c>
      <c r="G9" s="36" t="s">
        <v>17</v>
      </c>
      <c r="H9" s="37" t="s">
        <v>63</v>
      </c>
      <c r="I9" s="12" t="s">
        <v>19</v>
      </c>
      <c r="J9" s="13" t="s">
        <v>64</v>
      </c>
      <c r="K9" s="14" t="s">
        <v>21</v>
      </c>
      <c r="L9" s="8" t="s">
        <v>22</v>
      </c>
      <c r="M9" s="9" t="s">
        <v>61</v>
      </c>
      <c r="N9" s="9" t="s">
        <v>65</v>
      </c>
      <c r="O9" s="9" t="s">
        <v>62</v>
      </c>
      <c r="P9" s="37" t="s">
        <v>63</v>
      </c>
      <c r="Q9" s="37" t="s">
        <v>66</v>
      </c>
      <c r="R9" s="37" t="s">
        <v>67</v>
      </c>
    </row>
    <row r="10" spans="1:18" ht="28.8" x14ac:dyDescent="0.3">
      <c r="A10" s="35"/>
      <c r="B10" s="8" t="s">
        <v>25</v>
      </c>
      <c r="C10" s="9">
        <v>100</v>
      </c>
      <c r="D10" s="10" t="s">
        <v>14</v>
      </c>
      <c r="E10" s="11" t="s">
        <v>26</v>
      </c>
      <c r="F10" s="9" t="s">
        <v>68</v>
      </c>
      <c r="G10" s="36"/>
      <c r="H10" s="37"/>
      <c r="I10" s="12" t="s">
        <v>28</v>
      </c>
      <c r="J10" s="13">
        <v>15</v>
      </c>
      <c r="K10" s="14" t="s">
        <v>21</v>
      </c>
      <c r="L10" s="8" t="s">
        <v>29</v>
      </c>
      <c r="M10" s="9" t="s">
        <v>69</v>
      </c>
      <c r="N10" s="9" t="s">
        <v>69</v>
      </c>
      <c r="O10" s="9" t="s">
        <v>69</v>
      </c>
      <c r="P10" s="37"/>
      <c r="Q10" s="37"/>
      <c r="R10" s="37"/>
    </row>
    <row r="11" spans="1:18" ht="72" x14ac:dyDescent="0.3">
      <c r="A11" s="35"/>
      <c r="B11" s="36" t="s">
        <v>32</v>
      </c>
      <c r="C11" s="37" t="s">
        <v>2</v>
      </c>
      <c r="D11" s="10" t="s">
        <v>14</v>
      </c>
      <c r="E11" s="11" t="s">
        <v>33</v>
      </c>
      <c r="F11" s="9" t="s">
        <v>70</v>
      </c>
      <c r="G11" s="8" t="s">
        <v>35</v>
      </c>
      <c r="H11" s="9" t="s">
        <v>67</v>
      </c>
      <c r="I11" s="38" t="s">
        <v>36</v>
      </c>
      <c r="J11" s="39" t="s">
        <v>71</v>
      </c>
      <c r="K11" s="14" t="s">
        <v>21</v>
      </c>
      <c r="L11" s="8" t="s">
        <v>26</v>
      </c>
      <c r="M11" s="15" t="s">
        <v>2</v>
      </c>
      <c r="N11" s="9" t="s">
        <v>72</v>
      </c>
      <c r="O11" s="9" t="s">
        <v>68</v>
      </c>
      <c r="P11" s="37"/>
      <c r="Q11" s="37"/>
      <c r="R11" s="37"/>
    </row>
    <row r="12" spans="1:18" ht="57.6" x14ac:dyDescent="0.3">
      <c r="A12" s="35" t="s">
        <v>69</v>
      </c>
      <c r="B12" s="36"/>
      <c r="C12" s="37"/>
      <c r="D12" s="10" t="s">
        <v>14</v>
      </c>
      <c r="E12" s="11" t="s">
        <v>39</v>
      </c>
      <c r="F12" s="9" t="s">
        <v>69</v>
      </c>
      <c r="G12" s="8" t="s">
        <v>40</v>
      </c>
      <c r="H12" s="16" t="s">
        <v>73</v>
      </c>
      <c r="I12" s="38"/>
      <c r="J12" s="39"/>
      <c r="K12" s="14" t="s">
        <v>21</v>
      </c>
      <c r="L12" s="8" t="s">
        <v>42</v>
      </c>
      <c r="M12" s="15" t="s">
        <v>2</v>
      </c>
      <c r="N12" s="9" t="s">
        <v>74</v>
      </c>
      <c r="O12" s="9" t="s">
        <v>74</v>
      </c>
      <c r="P12" s="37" t="s">
        <v>75</v>
      </c>
      <c r="Q12" s="37" t="s">
        <v>76</v>
      </c>
      <c r="R12" s="37" t="s">
        <v>77</v>
      </c>
    </row>
    <row r="13" spans="1:18" x14ac:dyDescent="0.3">
      <c r="A13" s="35"/>
      <c r="B13" s="36"/>
      <c r="C13" s="37"/>
      <c r="D13" s="10" t="s">
        <v>14</v>
      </c>
      <c r="E13" s="11" t="s">
        <v>47</v>
      </c>
      <c r="F13" s="9" t="s">
        <v>48</v>
      </c>
      <c r="G13" s="8" t="s">
        <v>49</v>
      </c>
      <c r="H13" s="9" t="s">
        <v>78</v>
      </c>
      <c r="I13" s="12" t="s">
        <v>51</v>
      </c>
      <c r="J13" s="13" t="s">
        <v>74</v>
      </c>
      <c r="K13" s="14" t="s">
        <v>21</v>
      </c>
      <c r="L13" s="8" t="s">
        <v>52</v>
      </c>
      <c r="M13" s="15" t="s">
        <v>2</v>
      </c>
      <c r="N13" s="9" t="s">
        <v>79</v>
      </c>
      <c r="O13" s="9" t="s">
        <v>79</v>
      </c>
      <c r="P13" s="37"/>
      <c r="Q13" s="37"/>
      <c r="R13" s="37"/>
    </row>
    <row r="14" spans="1:18" x14ac:dyDescent="0.3">
      <c r="A14" s="35"/>
      <c r="B14" s="8" t="s">
        <v>54</v>
      </c>
      <c r="C14" s="9" t="s">
        <v>2</v>
      </c>
      <c r="D14" s="10" t="s">
        <v>14</v>
      </c>
      <c r="E14" s="11" t="s">
        <v>55</v>
      </c>
      <c r="F14" s="9" t="s">
        <v>80</v>
      </c>
      <c r="G14" s="8" t="s">
        <v>57</v>
      </c>
      <c r="H14" s="9" t="s">
        <v>58</v>
      </c>
      <c r="I14" s="12" t="s">
        <v>59</v>
      </c>
      <c r="J14" s="13" t="s">
        <v>81</v>
      </c>
      <c r="K14" s="14" t="s">
        <v>21</v>
      </c>
      <c r="L14" s="8" t="s">
        <v>55</v>
      </c>
      <c r="M14" s="15" t="s">
        <v>2</v>
      </c>
      <c r="N14" s="9" t="s">
        <v>80</v>
      </c>
      <c r="O14" s="9" t="s">
        <v>80</v>
      </c>
      <c r="P14" s="37"/>
      <c r="Q14" s="37"/>
      <c r="R14" s="37"/>
    </row>
    <row r="15" spans="1:18" x14ac:dyDescent="0.3">
      <c r="A15" s="17"/>
      <c r="B15" s="18"/>
      <c r="C15" s="19"/>
      <c r="D15" s="18"/>
      <c r="E15" s="20"/>
      <c r="F15" s="19"/>
      <c r="G15" s="18"/>
      <c r="H15" s="19"/>
      <c r="I15" s="21"/>
      <c r="J15" s="22"/>
      <c r="K15" s="20"/>
      <c r="L15" s="18"/>
      <c r="M15" s="19"/>
      <c r="N15" s="19"/>
      <c r="O15" s="19"/>
      <c r="P15" s="19"/>
      <c r="Q15" s="19"/>
      <c r="R15" s="19"/>
    </row>
    <row r="16" spans="1:18" x14ac:dyDescent="0.3">
      <c r="A16" s="35" t="s">
        <v>82</v>
      </c>
      <c r="B16" s="8" t="s">
        <v>12</v>
      </c>
      <c r="C16" s="9" t="s">
        <v>13</v>
      </c>
      <c r="D16" s="10" t="s">
        <v>14</v>
      </c>
      <c r="E16" s="11" t="s">
        <v>15</v>
      </c>
      <c r="F16" s="9" t="s">
        <v>83</v>
      </c>
      <c r="G16" s="36" t="s">
        <v>17</v>
      </c>
      <c r="H16" s="37" t="s">
        <v>84</v>
      </c>
      <c r="I16" s="12" t="s">
        <v>19</v>
      </c>
      <c r="J16" s="13" t="s">
        <v>64</v>
      </c>
      <c r="K16" s="14" t="s">
        <v>21</v>
      </c>
      <c r="L16" s="8" t="s">
        <v>22</v>
      </c>
      <c r="M16" s="9" t="s">
        <v>82</v>
      </c>
      <c r="N16" s="9" t="s">
        <v>85</v>
      </c>
      <c r="O16" s="9" t="s">
        <v>83</v>
      </c>
      <c r="P16" s="37" t="s">
        <v>84</v>
      </c>
      <c r="Q16" s="37" t="s">
        <v>76</v>
      </c>
      <c r="R16" s="37" t="s">
        <v>77</v>
      </c>
    </row>
    <row r="17" spans="1:18" ht="28.8" x14ac:dyDescent="0.3">
      <c r="A17" s="35"/>
      <c r="B17" s="8" t="s">
        <v>25</v>
      </c>
      <c r="C17" s="9">
        <v>95</v>
      </c>
      <c r="D17" s="10" t="s">
        <v>14</v>
      </c>
      <c r="E17" s="11" t="s">
        <v>26</v>
      </c>
      <c r="F17" s="9" t="s">
        <v>86</v>
      </c>
      <c r="G17" s="36"/>
      <c r="H17" s="37"/>
      <c r="I17" s="12" t="s">
        <v>28</v>
      </c>
      <c r="J17" s="13">
        <v>15</v>
      </c>
      <c r="K17" s="14" t="s">
        <v>21</v>
      </c>
      <c r="L17" s="8" t="s">
        <v>29</v>
      </c>
      <c r="M17" s="9" t="s">
        <v>87</v>
      </c>
      <c r="N17" s="9" t="s">
        <v>87</v>
      </c>
      <c r="O17" s="9" t="s">
        <v>87</v>
      </c>
      <c r="P17" s="37"/>
      <c r="Q17" s="37"/>
      <c r="R17" s="37"/>
    </row>
    <row r="18" spans="1:18" ht="72" x14ac:dyDescent="0.3">
      <c r="A18" s="35"/>
      <c r="B18" s="36" t="s">
        <v>32</v>
      </c>
      <c r="C18" s="37" t="s">
        <v>88</v>
      </c>
      <c r="D18" s="10" t="s">
        <v>14</v>
      </c>
      <c r="E18" s="11" t="s">
        <v>33</v>
      </c>
      <c r="F18" s="9" t="s">
        <v>70</v>
      </c>
      <c r="G18" s="8" t="s">
        <v>35</v>
      </c>
      <c r="H18" s="9" t="s">
        <v>77</v>
      </c>
      <c r="I18" s="38" t="s">
        <v>36</v>
      </c>
      <c r="J18" s="39" t="s">
        <v>89</v>
      </c>
      <c r="K18" s="14" t="s">
        <v>21</v>
      </c>
      <c r="L18" s="8" t="s">
        <v>26</v>
      </c>
      <c r="M18" s="15" t="s">
        <v>2</v>
      </c>
      <c r="N18" s="9" t="s">
        <v>90</v>
      </c>
      <c r="O18" s="9" t="s">
        <v>86</v>
      </c>
      <c r="P18" s="37"/>
      <c r="Q18" s="37"/>
      <c r="R18" s="37"/>
    </row>
    <row r="19" spans="1:18" ht="57.6" x14ac:dyDescent="0.3">
      <c r="A19" s="35" t="s">
        <v>87</v>
      </c>
      <c r="B19" s="36"/>
      <c r="C19" s="37"/>
      <c r="D19" s="10" t="s">
        <v>14</v>
      </c>
      <c r="E19" s="11" t="s">
        <v>39</v>
      </c>
      <c r="F19" s="9" t="s">
        <v>87</v>
      </c>
      <c r="G19" s="8" t="s">
        <v>40</v>
      </c>
      <c r="H19" s="16" t="s">
        <v>91</v>
      </c>
      <c r="I19" s="38"/>
      <c r="J19" s="39"/>
      <c r="K19" s="14" t="s">
        <v>21</v>
      </c>
      <c r="L19" s="8" t="s">
        <v>42</v>
      </c>
      <c r="M19" s="15" t="s">
        <v>2</v>
      </c>
      <c r="N19" s="9" t="s">
        <v>74</v>
      </c>
      <c r="O19" s="9" t="s">
        <v>74</v>
      </c>
      <c r="P19" s="37" t="s">
        <v>92</v>
      </c>
      <c r="Q19" s="37" t="s">
        <v>76</v>
      </c>
      <c r="R19" s="37" t="s">
        <v>77</v>
      </c>
    </row>
    <row r="20" spans="1:18" x14ac:dyDescent="0.3">
      <c r="A20" s="35"/>
      <c r="B20" s="36"/>
      <c r="C20" s="37"/>
      <c r="D20" s="10" t="s">
        <v>14</v>
      </c>
      <c r="E20" s="11" t="s">
        <v>47</v>
      </c>
      <c r="F20" s="9" t="s">
        <v>48</v>
      </c>
      <c r="G20" s="8" t="s">
        <v>49</v>
      </c>
      <c r="H20" s="9" t="s">
        <v>50</v>
      </c>
      <c r="I20" s="12" t="s">
        <v>51</v>
      </c>
      <c r="J20" s="13" t="s">
        <v>74</v>
      </c>
      <c r="K20" s="14" t="s">
        <v>21</v>
      </c>
      <c r="L20" s="8" t="s">
        <v>52</v>
      </c>
      <c r="M20" s="15" t="s">
        <v>2</v>
      </c>
      <c r="N20" s="9" t="s">
        <v>79</v>
      </c>
      <c r="O20" s="9" t="s">
        <v>79</v>
      </c>
      <c r="P20" s="37"/>
      <c r="Q20" s="37"/>
      <c r="R20" s="37"/>
    </row>
    <row r="21" spans="1:18" x14ac:dyDescent="0.3">
      <c r="A21" s="35"/>
      <c r="B21" s="8" t="s">
        <v>54</v>
      </c>
      <c r="C21" s="9" t="s">
        <v>2</v>
      </c>
      <c r="D21" s="10" t="s">
        <v>14</v>
      </c>
      <c r="E21" s="11" t="s">
        <v>55</v>
      </c>
      <c r="F21" s="9" t="s">
        <v>80</v>
      </c>
      <c r="G21" s="8" t="s">
        <v>57</v>
      </c>
      <c r="H21" s="9" t="s">
        <v>58</v>
      </c>
      <c r="I21" s="12" t="s">
        <v>59</v>
      </c>
      <c r="J21" s="13" t="s">
        <v>93</v>
      </c>
      <c r="K21" s="14" t="s">
        <v>21</v>
      </c>
      <c r="L21" s="8" t="s">
        <v>55</v>
      </c>
      <c r="M21" s="15" t="s">
        <v>2</v>
      </c>
      <c r="N21" s="9" t="s">
        <v>80</v>
      </c>
      <c r="O21" s="9" t="s">
        <v>80</v>
      </c>
      <c r="P21" s="37"/>
      <c r="Q21" s="37"/>
      <c r="R21" s="37"/>
    </row>
    <row r="22" spans="1:18" x14ac:dyDescent="0.3">
      <c r="A22" s="17"/>
      <c r="B22" s="18"/>
      <c r="C22" s="19"/>
      <c r="D22" s="18"/>
      <c r="E22" s="20"/>
      <c r="F22" s="19"/>
      <c r="G22" s="18"/>
      <c r="H22" s="19"/>
      <c r="I22" s="21"/>
      <c r="J22" s="22"/>
      <c r="K22" s="20"/>
      <c r="L22" s="18"/>
      <c r="M22" s="19"/>
      <c r="N22" s="19"/>
      <c r="O22" s="19"/>
      <c r="P22" s="19"/>
      <c r="Q22" s="19"/>
      <c r="R22" s="19"/>
    </row>
    <row r="23" spans="1:18" x14ac:dyDescent="0.3">
      <c r="A23" s="35" t="s">
        <v>94</v>
      </c>
      <c r="B23" s="8" t="s">
        <v>12</v>
      </c>
      <c r="C23" s="9" t="s">
        <v>13</v>
      </c>
      <c r="D23" s="10" t="s">
        <v>14</v>
      </c>
      <c r="E23" s="11" t="s">
        <v>15</v>
      </c>
      <c r="F23" s="9" t="s">
        <v>95</v>
      </c>
      <c r="G23" s="36" t="s">
        <v>17</v>
      </c>
      <c r="H23" s="37" t="s">
        <v>96</v>
      </c>
      <c r="I23" s="12" t="s">
        <v>19</v>
      </c>
      <c r="J23" s="13" t="s">
        <v>20</v>
      </c>
      <c r="K23" s="14" t="s">
        <v>21</v>
      </c>
      <c r="L23" s="8" t="s">
        <v>22</v>
      </c>
      <c r="M23" s="9" t="s">
        <v>94</v>
      </c>
      <c r="N23" s="9" t="s">
        <v>97</v>
      </c>
      <c r="O23" s="9" t="s">
        <v>95</v>
      </c>
      <c r="P23" s="37" t="s">
        <v>96</v>
      </c>
      <c r="Q23" s="37" t="s">
        <v>98</v>
      </c>
      <c r="R23" s="37" t="s">
        <v>99</v>
      </c>
    </row>
    <row r="24" spans="1:18" ht="28.8" x14ac:dyDescent="0.3">
      <c r="A24" s="35"/>
      <c r="B24" s="8" t="s">
        <v>25</v>
      </c>
      <c r="C24" s="9">
        <v>95</v>
      </c>
      <c r="D24" s="10" t="s">
        <v>14</v>
      </c>
      <c r="E24" s="11" t="s">
        <v>26</v>
      </c>
      <c r="F24" s="9" t="s">
        <v>100</v>
      </c>
      <c r="G24" s="36"/>
      <c r="H24" s="37"/>
      <c r="I24" s="12" t="s">
        <v>28</v>
      </c>
      <c r="J24" s="13">
        <v>5</v>
      </c>
      <c r="K24" s="14" t="s">
        <v>21</v>
      </c>
      <c r="L24" s="8" t="s">
        <v>29</v>
      </c>
      <c r="M24" s="9" t="s">
        <v>101</v>
      </c>
      <c r="N24" s="9" t="s">
        <v>101</v>
      </c>
      <c r="O24" s="9" t="s">
        <v>101</v>
      </c>
      <c r="P24" s="37"/>
      <c r="Q24" s="37"/>
      <c r="R24" s="37"/>
    </row>
    <row r="25" spans="1:18" ht="72" x14ac:dyDescent="0.3">
      <c r="A25" s="35"/>
      <c r="B25" s="36" t="s">
        <v>32</v>
      </c>
      <c r="C25" s="37" t="s">
        <v>102</v>
      </c>
      <c r="D25" s="10" t="s">
        <v>14</v>
      </c>
      <c r="E25" s="11" t="s">
        <v>33</v>
      </c>
      <c r="F25" s="9" t="s">
        <v>103</v>
      </c>
      <c r="G25" s="8" t="s">
        <v>35</v>
      </c>
      <c r="H25" s="9" t="s">
        <v>99</v>
      </c>
      <c r="I25" s="38" t="s">
        <v>36</v>
      </c>
      <c r="J25" s="39" t="s">
        <v>104</v>
      </c>
      <c r="K25" s="14" t="s">
        <v>21</v>
      </c>
      <c r="L25" s="8" t="s">
        <v>26</v>
      </c>
      <c r="M25" s="15" t="s">
        <v>2</v>
      </c>
      <c r="N25" s="9" t="s">
        <v>105</v>
      </c>
      <c r="O25" s="9" t="s">
        <v>100</v>
      </c>
      <c r="P25" s="37"/>
      <c r="Q25" s="37"/>
      <c r="R25" s="37"/>
    </row>
    <row r="26" spans="1:18" ht="57.6" x14ac:dyDescent="0.3">
      <c r="A26" s="35" t="s">
        <v>101</v>
      </c>
      <c r="B26" s="36"/>
      <c r="C26" s="37"/>
      <c r="D26" s="10" t="s">
        <v>14</v>
      </c>
      <c r="E26" s="11" t="s">
        <v>39</v>
      </c>
      <c r="F26" s="9" t="s">
        <v>101</v>
      </c>
      <c r="G26" s="8" t="s">
        <v>40</v>
      </c>
      <c r="H26" s="16" t="s">
        <v>106</v>
      </c>
      <c r="I26" s="38"/>
      <c r="J26" s="39"/>
      <c r="K26" s="14" t="s">
        <v>21</v>
      </c>
      <c r="L26" s="8" t="s">
        <v>42</v>
      </c>
      <c r="M26" s="15" t="s">
        <v>2</v>
      </c>
      <c r="N26" s="9" t="s">
        <v>107</v>
      </c>
      <c r="O26" s="9" t="s">
        <v>107</v>
      </c>
      <c r="P26" s="37" t="s">
        <v>108</v>
      </c>
      <c r="Q26" s="37" t="s">
        <v>109</v>
      </c>
      <c r="R26" s="37" t="s">
        <v>110</v>
      </c>
    </row>
    <row r="27" spans="1:18" x14ac:dyDescent="0.3">
      <c r="A27" s="35"/>
      <c r="B27" s="36"/>
      <c r="C27" s="37"/>
      <c r="D27" s="10" t="s">
        <v>14</v>
      </c>
      <c r="E27" s="11" t="s">
        <v>47</v>
      </c>
      <c r="F27" s="9" t="s">
        <v>48</v>
      </c>
      <c r="G27" s="8" t="s">
        <v>49</v>
      </c>
      <c r="H27" s="9" t="s">
        <v>50</v>
      </c>
      <c r="I27" s="12" t="s">
        <v>51</v>
      </c>
      <c r="J27" s="13" t="s">
        <v>107</v>
      </c>
      <c r="K27" s="14" t="s">
        <v>21</v>
      </c>
      <c r="L27" s="8" t="s">
        <v>52</v>
      </c>
      <c r="M27" s="15" t="s">
        <v>2</v>
      </c>
      <c r="N27" s="9" t="s">
        <v>111</v>
      </c>
      <c r="O27" s="9" t="s">
        <v>112</v>
      </c>
      <c r="P27" s="37"/>
      <c r="Q27" s="37"/>
      <c r="R27" s="37"/>
    </row>
    <row r="28" spans="1:18" x14ac:dyDescent="0.3">
      <c r="A28" s="35"/>
      <c r="B28" s="8" t="s">
        <v>54</v>
      </c>
      <c r="C28" s="9" t="s">
        <v>2</v>
      </c>
      <c r="D28" s="10" t="s">
        <v>14</v>
      </c>
      <c r="E28" s="11" t="s">
        <v>55</v>
      </c>
      <c r="F28" s="9" t="s">
        <v>56</v>
      </c>
      <c r="G28" s="8" t="s">
        <v>57</v>
      </c>
      <c r="H28" s="9" t="s">
        <v>113</v>
      </c>
      <c r="I28" s="12" t="s">
        <v>59</v>
      </c>
      <c r="J28" s="13" t="s">
        <v>114</v>
      </c>
      <c r="K28" s="14" t="s">
        <v>21</v>
      </c>
      <c r="L28" s="8" t="s">
        <v>55</v>
      </c>
      <c r="M28" s="15" t="s">
        <v>2</v>
      </c>
      <c r="N28" s="9" t="s">
        <v>56</v>
      </c>
      <c r="O28" s="9" t="s">
        <v>56</v>
      </c>
      <c r="P28" s="37"/>
      <c r="Q28" s="37"/>
      <c r="R28" s="37"/>
    </row>
    <row r="29" spans="1:18" x14ac:dyDescent="0.3">
      <c r="A29" s="17"/>
      <c r="B29" s="18"/>
      <c r="C29" s="19"/>
      <c r="D29" s="18"/>
      <c r="E29" s="20"/>
      <c r="F29" s="19"/>
      <c r="G29" s="18"/>
      <c r="H29" s="19"/>
      <c r="I29" s="21"/>
      <c r="J29" s="22"/>
      <c r="K29" s="20"/>
      <c r="L29" s="18"/>
      <c r="M29" s="19"/>
      <c r="N29" s="19"/>
      <c r="O29" s="19"/>
      <c r="P29" s="19"/>
      <c r="Q29" s="19"/>
      <c r="R29" s="19"/>
    </row>
    <row r="30" spans="1:18" x14ac:dyDescent="0.3">
      <c r="A30" s="40" t="s">
        <v>115</v>
      </c>
      <c r="B30" s="8" t="s">
        <v>12</v>
      </c>
      <c r="C30" s="23" t="s">
        <v>116</v>
      </c>
      <c r="D30" s="10" t="s">
        <v>14</v>
      </c>
      <c r="E30" s="11" t="s">
        <v>15</v>
      </c>
      <c r="F30" s="23" t="s">
        <v>117</v>
      </c>
      <c r="G30" s="36" t="s">
        <v>17</v>
      </c>
      <c r="H30" s="41" t="s">
        <v>96</v>
      </c>
      <c r="I30" s="12" t="s">
        <v>19</v>
      </c>
      <c r="J30" s="24" t="s">
        <v>20</v>
      </c>
      <c r="K30" s="14" t="s">
        <v>21</v>
      </c>
      <c r="L30" s="8" t="s">
        <v>22</v>
      </c>
      <c r="M30" s="23" t="s">
        <v>115</v>
      </c>
      <c r="N30" s="23" t="s">
        <v>118</v>
      </c>
      <c r="O30" s="23" t="s">
        <v>117</v>
      </c>
      <c r="P30" s="41" t="s">
        <v>96</v>
      </c>
      <c r="Q30" s="41" t="s">
        <v>98</v>
      </c>
      <c r="R30" s="41" t="s">
        <v>99</v>
      </c>
    </row>
    <row r="31" spans="1:18" ht="43.2" x14ac:dyDescent="0.3">
      <c r="A31" s="40"/>
      <c r="B31" s="8" t="s">
        <v>25</v>
      </c>
      <c r="C31" s="23">
        <v>25</v>
      </c>
      <c r="D31" s="10" t="s">
        <v>14</v>
      </c>
      <c r="E31" s="11" t="s">
        <v>26</v>
      </c>
      <c r="F31" s="23" t="s">
        <v>119</v>
      </c>
      <c r="G31" s="36"/>
      <c r="H31" s="41"/>
      <c r="I31" s="12" t="s">
        <v>28</v>
      </c>
      <c r="J31" s="24">
        <v>5</v>
      </c>
      <c r="K31" s="14" t="s">
        <v>21</v>
      </c>
      <c r="L31" s="8" t="s">
        <v>29</v>
      </c>
      <c r="M31" s="23" t="s">
        <v>120</v>
      </c>
      <c r="N31" s="23" t="s">
        <v>121</v>
      </c>
      <c r="O31" s="23" t="s">
        <v>122</v>
      </c>
      <c r="P31" s="41"/>
      <c r="Q31" s="41"/>
      <c r="R31" s="41"/>
    </row>
    <row r="32" spans="1:18" ht="72" x14ac:dyDescent="0.3">
      <c r="A32" s="40"/>
      <c r="B32" s="36" t="s">
        <v>32</v>
      </c>
      <c r="C32" s="41" t="s">
        <v>123</v>
      </c>
      <c r="D32" s="10" t="s">
        <v>14</v>
      </c>
      <c r="E32" s="11" t="s">
        <v>33</v>
      </c>
      <c r="F32" s="23" t="s">
        <v>124</v>
      </c>
      <c r="G32" s="8" t="s">
        <v>35</v>
      </c>
      <c r="H32" s="23" t="s">
        <v>99</v>
      </c>
      <c r="I32" s="38" t="s">
        <v>36</v>
      </c>
      <c r="J32" s="42" t="s">
        <v>125</v>
      </c>
      <c r="K32" s="14" t="s">
        <v>21</v>
      </c>
      <c r="L32" s="8" t="s">
        <v>26</v>
      </c>
      <c r="M32" s="15" t="s">
        <v>2</v>
      </c>
      <c r="N32" s="23" t="s">
        <v>126</v>
      </c>
      <c r="O32" s="23" t="s">
        <v>119</v>
      </c>
      <c r="P32" s="41"/>
      <c r="Q32" s="41"/>
      <c r="R32" s="41"/>
    </row>
    <row r="33" spans="1:18" ht="57.6" x14ac:dyDescent="0.3">
      <c r="A33" s="40" t="s">
        <v>120</v>
      </c>
      <c r="B33" s="36"/>
      <c r="C33" s="41"/>
      <c r="D33" s="10" t="s">
        <v>14</v>
      </c>
      <c r="E33" s="11" t="s">
        <v>39</v>
      </c>
      <c r="F33" s="23" t="s">
        <v>122</v>
      </c>
      <c r="G33" s="8" t="s">
        <v>40</v>
      </c>
      <c r="H33" s="25" t="s">
        <v>127</v>
      </c>
      <c r="I33" s="38"/>
      <c r="J33" s="42"/>
      <c r="K33" s="14" t="s">
        <v>21</v>
      </c>
      <c r="L33" s="8" t="s">
        <v>42</v>
      </c>
      <c r="M33" s="15" t="s">
        <v>2</v>
      </c>
      <c r="N33" s="23" t="s">
        <v>128</v>
      </c>
      <c r="O33" s="23" t="s">
        <v>129</v>
      </c>
      <c r="P33" s="41" t="s">
        <v>130</v>
      </c>
      <c r="Q33" s="41" t="s">
        <v>109</v>
      </c>
      <c r="R33" s="41" t="s">
        <v>110</v>
      </c>
    </row>
    <row r="34" spans="1:18" x14ac:dyDescent="0.3">
      <c r="A34" s="40"/>
      <c r="B34" s="36"/>
      <c r="C34" s="41"/>
      <c r="D34" s="10" t="s">
        <v>14</v>
      </c>
      <c r="E34" s="11" t="s">
        <v>47</v>
      </c>
      <c r="F34" s="23" t="s">
        <v>48</v>
      </c>
      <c r="G34" s="8" t="s">
        <v>49</v>
      </c>
      <c r="H34" s="23" t="s">
        <v>50</v>
      </c>
      <c r="I34" s="12" t="s">
        <v>51</v>
      </c>
      <c r="J34" s="24" t="s">
        <v>129</v>
      </c>
      <c r="K34" s="14" t="s">
        <v>21</v>
      </c>
      <c r="L34" s="8" t="s">
        <v>52</v>
      </c>
      <c r="M34" s="15" t="s">
        <v>2</v>
      </c>
      <c r="N34" s="23" t="s">
        <v>131</v>
      </c>
      <c r="O34" s="23" t="s">
        <v>132</v>
      </c>
      <c r="P34" s="41"/>
      <c r="Q34" s="41"/>
      <c r="R34" s="41"/>
    </row>
    <row r="35" spans="1:18" x14ac:dyDescent="0.3">
      <c r="A35" s="40"/>
      <c r="B35" s="8" t="s">
        <v>54</v>
      </c>
      <c r="C35" s="23" t="s">
        <v>2</v>
      </c>
      <c r="D35" s="10" t="s">
        <v>14</v>
      </c>
      <c r="E35" s="11" t="s">
        <v>55</v>
      </c>
      <c r="F35" s="23" t="s">
        <v>56</v>
      </c>
      <c r="G35" s="8" t="s">
        <v>57</v>
      </c>
      <c r="H35" s="23" t="s">
        <v>113</v>
      </c>
      <c r="I35" s="12" t="s">
        <v>59</v>
      </c>
      <c r="J35" s="24" t="s">
        <v>81</v>
      </c>
      <c r="K35" s="14" t="s">
        <v>21</v>
      </c>
      <c r="L35" s="8" t="s">
        <v>55</v>
      </c>
      <c r="M35" s="15" t="s">
        <v>2</v>
      </c>
      <c r="N35" s="23" t="s">
        <v>56</v>
      </c>
      <c r="O35" s="23" t="s">
        <v>56</v>
      </c>
      <c r="P35" s="41"/>
      <c r="Q35" s="41"/>
      <c r="R35" s="41"/>
    </row>
    <row r="36" spans="1:18" x14ac:dyDescent="0.3">
      <c r="A36" s="17"/>
      <c r="B36" s="18"/>
      <c r="C36" s="19"/>
      <c r="D36" s="18"/>
      <c r="E36" s="20"/>
      <c r="F36" s="19"/>
      <c r="G36" s="18"/>
      <c r="H36" s="19"/>
      <c r="I36" s="21"/>
      <c r="J36" s="22"/>
      <c r="K36" s="20"/>
      <c r="L36" s="18"/>
      <c r="M36" s="19"/>
      <c r="N36" s="19"/>
      <c r="O36" s="19"/>
      <c r="P36" s="19"/>
      <c r="Q36" s="19"/>
      <c r="R36" s="19"/>
    </row>
    <row r="37" spans="1:18" x14ac:dyDescent="0.3">
      <c r="A37" s="40" t="s">
        <v>115</v>
      </c>
      <c r="B37" s="8" t="s">
        <v>12</v>
      </c>
      <c r="C37" s="23" t="s">
        <v>116</v>
      </c>
      <c r="D37" s="10" t="s">
        <v>14</v>
      </c>
      <c r="E37" s="11" t="s">
        <v>15</v>
      </c>
      <c r="F37" s="23" t="s">
        <v>117</v>
      </c>
      <c r="G37" s="36" t="s">
        <v>17</v>
      </c>
      <c r="H37" s="41" t="s">
        <v>96</v>
      </c>
      <c r="I37" s="12" t="s">
        <v>19</v>
      </c>
      <c r="J37" s="24" t="s">
        <v>20</v>
      </c>
      <c r="K37" s="14" t="s">
        <v>21</v>
      </c>
      <c r="L37" s="8" t="s">
        <v>22</v>
      </c>
      <c r="M37" s="23" t="s">
        <v>115</v>
      </c>
      <c r="N37" s="23" t="s">
        <v>118</v>
      </c>
      <c r="O37" s="23" t="s">
        <v>117</v>
      </c>
      <c r="P37" s="41" t="s">
        <v>96</v>
      </c>
      <c r="Q37" s="41" t="s">
        <v>98</v>
      </c>
      <c r="R37" s="41" t="s">
        <v>99</v>
      </c>
    </row>
    <row r="38" spans="1:18" ht="43.2" x14ac:dyDescent="0.3">
      <c r="A38" s="40"/>
      <c r="B38" s="8" t="s">
        <v>25</v>
      </c>
      <c r="C38" s="23">
        <v>25</v>
      </c>
      <c r="D38" s="10" t="s">
        <v>14</v>
      </c>
      <c r="E38" s="11" t="s">
        <v>26</v>
      </c>
      <c r="F38" s="23" t="s">
        <v>119</v>
      </c>
      <c r="G38" s="36"/>
      <c r="H38" s="41"/>
      <c r="I38" s="12" t="s">
        <v>28</v>
      </c>
      <c r="J38" s="24">
        <v>5</v>
      </c>
      <c r="K38" s="14" t="s">
        <v>21</v>
      </c>
      <c r="L38" s="8" t="s">
        <v>29</v>
      </c>
      <c r="M38" s="23" t="s">
        <v>120</v>
      </c>
      <c r="N38" s="23" t="s">
        <v>121</v>
      </c>
      <c r="O38" s="23" t="s">
        <v>122</v>
      </c>
      <c r="P38" s="41"/>
      <c r="Q38" s="41"/>
      <c r="R38" s="41"/>
    </row>
    <row r="39" spans="1:18" ht="72" x14ac:dyDescent="0.3">
      <c r="A39" s="40"/>
      <c r="B39" s="36" t="s">
        <v>32</v>
      </c>
      <c r="C39" s="41" t="s">
        <v>123</v>
      </c>
      <c r="D39" s="10" t="s">
        <v>14</v>
      </c>
      <c r="E39" s="11" t="s">
        <v>33</v>
      </c>
      <c r="F39" s="23" t="s">
        <v>124</v>
      </c>
      <c r="G39" s="8" t="s">
        <v>35</v>
      </c>
      <c r="H39" s="23" t="s">
        <v>99</v>
      </c>
      <c r="I39" s="38" t="s">
        <v>36</v>
      </c>
      <c r="J39" s="42" t="s">
        <v>125</v>
      </c>
      <c r="K39" s="14" t="s">
        <v>21</v>
      </c>
      <c r="L39" s="8" t="s">
        <v>26</v>
      </c>
      <c r="M39" s="15" t="s">
        <v>2</v>
      </c>
      <c r="N39" s="23" t="s">
        <v>126</v>
      </c>
      <c r="O39" s="23" t="s">
        <v>119</v>
      </c>
      <c r="P39" s="41"/>
      <c r="Q39" s="41"/>
      <c r="R39" s="41"/>
    </row>
    <row r="40" spans="1:18" ht="57.6" x14ac:dyDescent="0.3">
      <c r="A40" s="40" t="s">
        <v>120</v>
      </c>
      <c r="B40" s="36"/>
      <c r="C40" s="41"/>
      <c r="D40" s="10" t="s">
        <v>14</v>
      </c>
      <c r="E40" s="11" t="s">
        <v>39</v>
      </c>
      <c r="F40" s="23" t="s">
        <v>122</v>
      </c>
      <c r="G40" s="8" t="s">
        <v>40</v>
      </c>
      <c r="H40" s="25" t="s">
        <v>127</v>
      </c>
      <c r="I40" s="38"/>
      <c r="J40" s="42"/>
      <c r="K40" s="14" t="s">
        <v>21</v>
      </c>
      <c r="L40" s="8" t="s">
        <v>42</v>
      </c>
      <c r="M40" s="15" t="s">
        <v>2</v>
      </c>
      <c r="N40" s="23" t="s">
        <v>128</v>
      </c>
      <c r="O40" s="23" t="s">
        <v>129</v>
      </c>
      <c r="P40" s="41" t="s">
        <v>130</v>
      </c>
      <c r="Q40" s="41" t="s">
        <v>109</v>
      </c>
      <c r="R40" s="41" t="s">
        <v>110</v>
      </c>
    </row>
    <row r="41" spans="1:18" x14ac:dyDescent="0.3">
      <c r="A41" s="40"/>
      <c r="B41" s="36"/>
      <c r="C41" s="41"/>
      <c r="D41" s="10" t="s">
        <v>14</v>
      </c>
      <c r="E41" s="11" t="s">
        <v>47</v>
      </c>
      <c r="F41" s="23" t="s">
        <v>48</v>
      </c>
      <c r="G41" s="8" t="s">
        <v>49</v>
      </c>
      <c r="H41" s="23" t="s">
        <v>50</v>
      </c>
      <c r="I41" s="12" t="s">
        <v>51</v>
      </c>
      <c r="J41" s="24" t="s">
        <v>129</v>
      </c>
      <c r="K41" s="14" t="s">
        <v>21</v>
      </c>
      <c r="L41" s="8" t="s">
        <v>52</v>
      </c>
      <c r="M41" s="15" t="s">
        <v>2</v>
      </c>
      <c r="N41" s="23" t="s">
        <v>131</v>
      </c>
      <c r="O41" s="23" t="s">
        <v>132</v>
      </c>
      <c r="P41" s="41"/>
      <c r="Q41" s="41"/>
      <c r="R41" s="41"/>
    </row>
    <row r="42" spans="1:18" x14ac:dyDescent="0.3">
      <c r="A42" s="40"/>
      <c r="B42" s="8" t="s">
        <v>54</v>
      </c>
      <c r="C42" s="23" t="s">
        <v>2</v>
      </c>
      <c r="D42" s="10" t="s">
        <v>14</v>
      </c>
      <c r="E42" s="11" t="s">
        <v>55</v>
      </c>
      <c r="F42" s="23" t="s">
        <v>56</v>
      </c>
      <c r="G42" s="8" t="s">
        <v>57</v>
      </c>
      <c r="H42" s="23" t="s">
        <v>113</v>
      </c>
      <c r="I42" s="12" t="s">
        <v>59</v>
      </c>
      <c r="J42" s="24" t="s">
        <v>81</v>
      </c>
      <c r="K42" s="14" t="s">
        <v>21</v>
      </c>
      <c r="L42" s="8" t="s">
        <v>55</v>
      </c>
      <c r="M42" s="15" t="s">
        <v>2</v>
      </c>
      <c r="N42" s="23" t="s">
        <v>56</v>
      </c>
      <c r="O42" s="23" t="s">
        <v>56</v>
      </c>
      <c r="P42" s="41"/>
      <c r="Q42" s="41"/>
      <c r="R42" s="41"/>
    </row>
    <row r="43" spans="1:18" x14ac:dyDescent="0.3">
      <c r="A43" s="17"/>
      <c r="B43" s="18"/>
      <c r="C43" s="19"/>
      <c r="D43" s="18"/>
      <c r="E43" s="20"/>
      <c r="F43" s="19"/>
      <c r="G43" s="18"/>
      <c r="H43" s="19"/>
      <c r="I43" s="21"/>
      <c r="J43" s="22"/>
      <c r="K43" s="20"/>
      <c r="L43" s="18"/>
      <c r="M43" s="19"/>
      <c r="N43" s="19"/>
      <c r="O43" s="19"/>
      <c r="P43" s="19"/>
      <c r="Q43" s="19"/>
      <c r="R43" s="19"/>
    </row>
    <row r="44" spans="1:18" x14ac:dyDescent="0.3">
      <c r="A44" s="43" t="s">
        <v>133</v>
      </c>
      <c r="B44" s="8" t="s">
        <v>12</v>
      </c>
      <c r="C44" s="26" t="s">
        <v>134</v>
      </c>
      <c r="D44" s="10" t="s">
        <v>14</v>
      </c>
      <c r="E44" s="11" t="s">
        <v>15</v>
      </c>
      <c r="F44" s="26" t="s">
        <v>135</v>
      </c>
      <c r="G44" s="36" t="s">
        <v>17</v>
      </c>
      <c r="H44" s="44" t="s">
        <v>136</v>
      </c>
      <c r="I44" s="12" t="s">
        <v>19</v>
      </c>
      <c r="J44" s="27" t="s">
        <v>20</v>
      </c>
      <c r="K44" s="14" t="s">
        <v>21</v>
      </c>
      <c r="L44" s="8" t="s">
        <v>22</v>
      </c>
      <c r="M44" s="26" t="s">
        <v>133</v>
      </c>
      <c r="N44" s="26" t="s">
        <v>135</v>
      </c>
      <c r="O44" s="26" t="s">
        <v>135</v>
      </c>
      <c r="P44" s="44" t="s">
        <v>136</v>
      </c>
      <c r="Q44" s="44" t="s">
        <v>76</v>
      </c>
      <c r="R44" s="44" t="s">
        <v>77</v>
      </c>
    </row>
    <row r="45" spans="1:18" ht="28.8" x14ac:dyDescent="0.3">
      <c r="A45" s="43"/>
      <c r="B45" s="8" t="s">
        <v>25</v>
      </c>
      <c r="C45" s="26">
        <v>70</v>
      </c>
      <c r="D45" s="10" t="s">
        <v>14</v>
      </c>
      <c r="E45" s="11" t="s">
        <v>26</v>
      </c>
      <c r="F45" s="26" t="s">
        <v>137</v>
      </c>
      <c r="G45" s="36"/>
      <c r="H45" s="44"/>
      <c r="I45" s="12" t="s">
        <v>28</v>
      </c>
      <c r="J45" s="27">
        <v>100</v>
      </c>
      <c r="K45" s="14" t="s">
        <v>21</v>
      </c>
      <c r="L45" s="8" t="s">
        <v>29</v>
      </c>
      <c r="M45" s="26" t="s">
        <v>138</v>
      </c>
      <c r="N45" s="26" t="s">
        <v>138</v>
      </c>
      <c r="O45" s="26" t="s">
        <v>138</v>
      </c>
      <c r="P45" s="44"/>
      <c r="Q45" s="44"/>
      <c r="R45" s="44"/>
    </row>
    <row r="46" spans="1:18" ht="72" x14ac:dyDescent="0.3">
      <c r="A46" s="43"/>
      <c r="B46" s="36" t="s">
        <v>32</v>
      </c>
      <c r="C46" s="44" t="s">
        <v>139</v>
      </c>
      <c r="D46" s="10" t="s">
        <v>14</v>
      </c>
      <c r="E46" s="11" t="s">
        <v>33</v>
      </c>
      <c r="F46" s="26" t="s">
        <v>140</v>
      </c>
      <c r="G46" s="8" t="s">
        <v>35</v>
      </c>
      <c r="H46" s="26" t="s">
        <v>77</v>
      </c>
      <c r="I46" s="38" t="s">
        <v>36</v>
      </c>
      <c r="J46" s="45" t="s">
        <v>141</v>
      </c>
      <c r="K46" s="14" t="s">
        <v>21</v>
      </c>
      <c r="L46" s="8" t="s">
        <v>26</v>
      </c>
      <c r="M46" s="15" t="s">
        <v>2</v>
      </c>
      <c r="N46" s="26" t="s">
        <v>142</v>
      </c>
      <c r="O46" s="26" t="s">
        <v>137</v>
      </c>
      <c r="P46" s="44"/>
      <c r="Q46" s="44"/>
      <c r="R46" s="44"/>
    </row>
    <row r="47" spans="1:18" ht="57.6" x14ac:dyDescent="0.3">
      <c r="A47" s="43" t="s">
        <v>138</v>
      </c>
      <c r="B47" s="36"/>
      <c r="C47" s="44"/>
      <c r="D47" s="10" t="s">
        <v>14</v>
      </c>
      <c r="E47" s="11" t="s">
        <v>39</v>
      </c>
      <c r="F47" s="26" t="s">
        <v>138</v>
      </c>
      <c r="G47" s="8" t="s">
        <v>40</v>
      </c>
      <c r="H47" s="28" t="s">
        <v>143</v>
      </c>
      <c r="I47" s="38"/>
      <c r="J47" s="45"/>
      <c r="K47" s="14" t="s">
        <v>21</v>
      </c>
      <c r="L47" s="8" t="s">
        <v>42</v>
      </c>
      <c r="M47" s="15" t="s">
        <v>2</v>
      </c>
      <c r="N47" s="26" t="s">
        <v>144</v>
      </c>
      <c r="O47" s="26" t="s">
        <v>145</v>
      </c>
      <c r="P47" s="44" t="s">
        <v>146</v>
      </c>
      <c r="Q47" s="44" t="s">
        <v>76</v>
      </c>
      <c r="R47" s="44" t="s">
        <v>77</v>
      </c>
    </row>
    <row r="48" spans="1:18" x14ac:dyDescent="0.3">
      <c r="A48" s="43"/>
      <c r="B48" s="36"/>
      <c r="C48" s="44"/>
      <c r="D48" s="10" t="s">
        <v>14</v>
      </c>
      <c r="E48" s="11" t="s">
        <v>47</v>
      </c>
      <c r="F48" s="26" t="s">
        <v>48</v>
      </c>
      <c r="G48" s="8" t="s">
        <v>49</v>
      </c>
      <c r="H48" s="26" t="s">
        <v>50</v>
      </c>
      <c r="I48" s="12" t="s">
        <v>51</v>
      </c>
      <c r="J48" s="27" t="s">
        <v>145</v>
      </c>
      <c r="K48" s="14" t="s">
        <v>21</v>
      </c>
      <c r="L48" s="8" t="s">
        <v>52</v>
      </c>
      <c r="M48" s="15" t="s">
        <v>2</v>
      </c>
      <c r="N48" s="26" t="s">
        <v>147</v>
      </c>
      <c r="O48" s="26" t="s">
        <v>148</v>
      </c>
      <c r="P48" s="44"/>
      <c r="Q48" s="44"/>
      <c r="R48" s="44"/>
    </row>
    <row r="49" spans="1:18" x14ac:dyDescent="0.3">
      <c r="A49" s="43"/>
      <c r="B49" s="8" t="s">
        <v>54</v>
      </c>
      <c r="C49" s="26" t="s">
        <v>2</v>
      </c>
      <c r="D49" s="10" t="s">
        <v>14</v>
      </c>
      <c r="E49" s="11" t="s">
        <v>55</v>
      </c>
      <c r="F49" s="26" t="s">
        <v>80</v>
      </c>
      <c r="G49" s="8" t="s">
        <v>57</v>
      </c>
      <c r="H49" s="26" t="s">
        <v>149</v>
      </c>
      <c r="I49" s="12" t="s">
        <v>59</v>
      </c>
      <c r="J49" s="27" t="s">
        <v>81</v>
      </c>
      <c r="K49" s="14" t="s">
        <v>21</v>
      </c>
      <c r="L49" s="8" t="s">
        <v>55</v>
      </c>
      <c r="M49" s="15" t="s">
        <v>2</v>
      </c>
      <c r="N49" s="26" t="s">
        <v>80</v>
      </c>
      <c r="O49" s="26" t="s">
        <v>80</v>
      </c>
      <c r="P49" s="44"/>
      <c r="Q49" s="44"/>
      <c r="R49" s="44"/>
    </row>
    <row r="50" spans="1:18" x14ac:dyDescent="0.3">
      <c r="A50" s="17"/>
      <c r="B50" s="18"/>
      <c r="C50" s="19"/>
      <c r="D50" s="18"/>
      <c r="E50" s="20"/>
      <c r="F50" s="19"/>
      <c r="G50" s="18"/>
      <c r="H50" s="19"/>
      <c r="I50" s="21"/>
      <c r="J50" s="22"/>
      <c r="K50" s="20"/>
      <c r="L50" s="18"/>
      <c r="M50" s="19"/>
      <c r="N50" s="19"/>
      <c r="O50" s="19"/>
      <c r="P50" s="19"/>
      <c r="Q50" s="19"/>
      <c r="R50" s="19"/>
    </row>
    <row r="51" spans="1:18" x14ac:dyDescent="0.3">
      <c r="A51" s="43" t="s">
        <v>133</v>
      </c>
      <c r="B51" s="8" t="s">
        <v>12</v>
      </c>
      <c r="C51" s="26" t="s">
        <v>134</v>
      </c>
      <c r="D51" s="10" t="s">
        <v>14</v>
      </c>
      <c r="E51" s="11" t="s">
        <v>15</v>
      </c>
      <c r="F51" s="26" t="s">
        <v>135</v>
      </c>
      <c r="G51" s="36" t="s">
        <v>17</v>
      </c>
      <c r="H51" s="44" t="s">
        <v>136</v>
      </c>
      <c r="I51" s="12" t="s">
        <v>19</v>
      </c>
      <c r="J51" s="27" t="s">
        <v>20</v>
      </c>
      <c r="K51" s="14" t="s">
        <v>21</v>
      </c>
      <c r="L51" s="8" t="s">
        <v>22</v>
      </c>
      <c r="M51" s="26" t="s">
        <v>133</v>
      </c>
      <c r="N51" s="26" t="s">
        <v>135</v>
      </c>
      <c r="O51" s="26" t="s">
        <v>135</v>
      </c>
      <c r="P51" s="44" t="s">
        <v>136</v>
      </c>
      <c r="Q51" s="44" t="s">
        <v>76</v>
      </c>
      <c r="R51" s="44" t="s">
        <v>77</v>
      </c>
    </row>
    <row r="52" spans="1:18" ht="28.8" x14ac:dyDescent="0.3">
      <c r="A52" s="43"/>
      <c r="B52" s="8" t="s">
        <v>25</v>
      </c>
      <c r="C52" s="26">
        <v>70</v>
      </c>
      <c r="D52" s="10" t="s">
        <v>14</v>
      </c>
      <c r="E52" s="11" t="s">
        <v>26</v>
      </c>
      <c r="F52" s="26" t="s">
        <v>137</v>
      </c>
      <c r="G52" s="36"/>
      <c r="H52" s="44"/>
      <c r="I52" s="12" t="s">
        <v>28</v>
      </c>
      <c r="J52" s="27">
        <v>100</v>
      </c>
      <c r="K52" s="14" t="s">
        <v>21</v>
      </c>
      <c r="L52" s="8" t="s">
        <v>29</v>
      </c>
      <c r="M52" s="26" t="s">
        <v>138</v>
      </c>
      <c r="N52" s="26" t="s">
        <v>138</v>
      </c>
      <c r="O52" s="26" t="s">
        <v>138</v>
      </c>
      <c r="P52" s="44"/>
      <c r="Q52" s="44"/>
      <c r="R52" s="44"/>
    </row>
    <row r="53" spans="1:18" ht="72" x14ac:dyDescent="0.3">
      <c r="A53" s="43"/>
      <c r="B53" s="36" t="s">
        <v>32</v>
      </c>
      <c r="C53" s="44" t="s">
        <v>139</v>
      </c>
      <c r="D53" s="10" t="s">
        <v>14</v>
      </c>
      <c r="E53" s="11" t="s">
        <v>33</v>
      </c>
      <c r="F53" s="26" t="s">
        <v>140</v>
      </c>
      <c r="G53" s="8" t="s">
        <v>35</v>
      </c>
      <c r="H53" s="26" t="s">
        <v>77</v>
      </c>
      <c r="I53" s="38" t="s">
        <v>36</v>
      </c>
      <c r="J53" s="45" t="s">
        <v>141</v>
      </c>
      <c r="K53" s="14" t="s">
        <v>21</v>
      </c>
      <c r="L53" s="8" t="s">
        <v>26</v>
      </c>
      <c r="M53" s="15" t="s">
        <v>2</v>
      </c>
      <c r="N53" s="26" t="s">
        <v>142</v>
      </c>
      <c r="O53" s="26" t="s">
        <v>137</v>
      </c>
      <c r="P53" s="44"/>
      <c r="Q53" s="44"/>
      <c r="R53" s="44"/>
    </row>
    <row r="54" spans="1:18" ht="57.6" x14ac:dyDescent="0.3">
      <c r="A54" s="43" t="s">
        <v>138</v>
      </c>
      <c r="B54" s="36"/>
      <c r="C54" s="44"/>
      <c r="D54" s="10" t="s">
        <v>14</v>
      </c>
      <c r="E54" s="11" t="s">
        <v>39</v>
      </c>
      <c r="F54" s="26" t="s">
        <v>138</v>
      </c>
      <c r="G54" s="8" t="s">
        <v>40</v>
      </c>
      <c r="H54" s="28" t="s">
        <v>143</v>
      </c>
      <c r="I54" s="38"/>
      <c r="J54" s="45"/>
      <c r="K54" s="14" t="s">
        <v>21</v>
      </c>
      <c r="L54" s="8" t="s">
        <v>42</v>
      </c>
      <c r="M54" s="15" t="s">
        <v>2</v>
      </c>
      <c r="N54" s="26" t="s">
        <v>144</v>
      </c>
      <c r="O54" s="26" t="s">
        <v>145</v>
      </c>
      <c r="P54" s="44" t="s">
        <v>146</v>
      </c>
      <c r="Q54" s="44" t="s">
        <v>76</v>
      </c>
      <c r="R54" s="44" t="s">
        <v>77</v>
      </c>
    </row>
    <row r="55" spans="1:18" x14ac:dyDescent="0.3">
      <c r="A55" s="43"/>
      <c r="B55" s="36"/>
      <c r="C55" s="44"/>
      <c r="D55" s="10" t="s">
        <v>14</v>
      </c>
      <c r="E55" s="11" t="s">
        <v>47</v>
      </c>
      <c r="F55" s="26" t="s">
        <v>48</v>
      </c>
      <c r="G55" s="8" t="s">
        <v>49</v>
      </c>
      <c r="H55" s="26" t="s">
        <v>50</v>
      </c>
      <c r="I55" s="12" t="s">
        <v>51</v>
      </c>
      <c r="J55" s="27" t="s">
        <v>145</v>
      </c>
      <c r="K55" s="14" t="s">
        <v>21</v>
      </c>
      <c r="L55" s="8" t="s">
        <v>52</v>
      </c>
      <c r="M55" s="15" t="s">
        <v>2</v>
      </c>
      <c r="N55" s="26" t="s">
        <v>147</v>
      </c>
      <c r="O55" s="26" t="s">
        <v>148</v>
      </c>
      <c r="P55" s="44"/>
      <c r="Q55" s="44"/>
      <c r="R55" s="44"/>
    </row>
    <row r="56" spans="1:18" x14ac:dyDescent="0.3">
      <c r="A56" s="43"/>
      <c r="B56" s="8" t="s">
        <v>54</v>
      </c>
      <c r="C56" s="26" t="s">
        <v>2</v>
      </c>
      <c r="D56" s="10" t="s">
        <v>14</v>
      </c>
      <c r="E56" s="11" t="s">
        <v>55</v>
      </c>
      <c r="F56" s="26" t="s">
        <v>80</v>
      </c>
      <c r="G56" s="8" t="s">
        <v>57</v>
      </c>
      <c r="H56" s="26" t="s">
        <v>149</v>
      </c>
      <c r="I56" s="12" t="s">
        <v>59</v>
      </c>
      <c r="J56" s="27" t="s">
        <v>81</v>
      </c>
      <c r="K56" s="14" t="s">
        <v>21</v>
      </c>
      <c r="L56" s="8" t="s">
        <v>55</v>
      </c>
      <c r="M56" s="15" t="s">
        <v>2</v>
      </c>
      <c r="N56" s="26" t="s">
        <v>80</v>
      </c>
      <c r="O56" s="26" t="s">
        <v>80</v>
      </c>
      <c r="P56" s="44"/>
      <c r="Q56" s="44"/>
      <c r="R56" s="44"/>
    </row>
    <row r="57" spans="1:18" x14ac:dyDescent="0.3">
      <c r="A57" s="17"/>
      <c r="B57" s="18"/>
      <c r="C57" s="19"/>
      <c r="D57" s="18"/>
      <c r="E57" s="20"/>
      <c r="F57" s="19"/>
      <c r="G57" s="18"/>
      <c r="H57" s="19"/>
      <c r="I57" s="21"/>
      <c r="J57" s="22"/>
      <c r="K57" s="20"/>
      <c r="L57" s="18"/>
      <c r="M57" s="19"/>
      <c r="N57" s="19"/>
      <c r="O57" s="19"/>
      <c r="P57" s="19"/>
      <c r="Q57" s="19"/>
      <c r="R57" s="19"/>
    </row>
    <row r="58" spans="1:18" x14ac:dyDescent="0.3">
      <c r="A58" s="43" t="s">
        <v>133</v>
      </c>
      <c r="B58" s="8" t="s">
        <v>12</v>
      </c>
      <c r="C58" s="26" t="s">
        <v>134</v>
      </c>
      <c r="D58" s="10" t="s">
        <v>14</v>
      </c>
      <c r="E58" s="11" t="s">
        <v>15</v>
      </c>
      <c r="F58" s="26" t="s">
        <v>135</v>
      </c>
      <c r="G58" s="36" t="s">
        <v>17</v>
      </c>
      <c r="H58" s="44" t="s">
        <v>136</v>
      </c>
      <c r="I58" s="12" t="s">
        <v>19</v>
      </c>
      <c r="J58" s="27" t="s">
        <v>20</v>
      </c>
      <c r="K58" s="14" t="s">
        <v>21</v>
      </c>
      <c r="L58" s="8" t="s">
        <v>22</v>
      </c>
      <c r="M58" s="26" t="s">
        <v>133</v>
      </c>
      <c r="N58" s="26" t="s">
        <v>135</v>
      </c>
      <c r="O58" s="26" t="s">
        <v>135</v>
      </c>
      <c r="P58" s="44" t="s">
        <v>136</v>
      </c>
      <c r="Q58" s="44" t="s">
        <v>76</v>
      </c>
      <c r="R58" s="44" t="s">
        <v>77</v>
      </c>
    </row>
    <row r="59" spans="1:18" ht="28.8" x14ac:dyDescent="0.3">
      <c r="A59" s="43"/>
      <c r="B59" s="8" t="s">
        <v>25</v>
      </c>
      <c r="C59" s="26">
        <v>70</v>
      </c>
      <c r="D59" s="10" t="s">
        <v>14</v>
      </c>
      <c r="E59" s="11" t="s">
        <v>26</v>
      </c>
      <c r="F59" s="26" t="s">
        <v>137</v>
      </c>
      <c r="G59" s="36"/>
      <c r="H59" s="44"/>
      <c r="I59" s="12" t="s">
        <v>28</v>
      </c>
      <c r="J59" s="27">
        <v>100</v>
      </c>
      <c r="K59" s="14" t="s">
        <v>21</v>
      </c>
      <c r="L59" s="8" t="s">
        <v>29</v>
      </c>
      <c r="M59" s="26" t="s">
        <v>138</v>
      </c>
      <c r="N59" s="26" t="s">
        <v>138</v>
      </c>
      <c r="O59" s="26" t="s">
        <v>138</v>
      </c>
      <c r="P59" s="44"/>
      <c r="Q59" s="44"/>
      <c r="R59" s="44"/>
    </row>
    <row r="60" spans="1:18" ht="72" x14ac:dyDescent="0.3">
      <c r="A60" s="43"/>
      <c r="B60" s="36" t="s">
        <v>32</v>
      </c>
      <c r="C60" s="44" t="s">
        <v>139</v>
      </c>
      <c r="D60" s="10" t="s">
        <v>14</v>
      </c>
      <c r="E60" s="11" t="s">
        <v>33</v>
      </c>
      <c r="F60" s="26" t="s">
        <v>140</v>
      </c>
      <c r="G60" s="8" t="s">
        <v>35</v>
      </c>
      <c r="H60" s="26" t="s">
        <v>77</v>
      </c>
      <c r="I60" s="38" t="s">
        <v>36</v>
      </c>
      <c r="J60" s="45" t="s">
        <v>141</v>
      </c>
      <c r="K60" s="14" t="s">
        <v>21</v>
      </c>
      <c r="L60" s="8" t="s">
        <v>26</v>
      </c>
      <c r="M60" s="15" t="s">
        <v>2</v>
      </c>
      <c r="N60" s="26" t="s">
        <v>142</v>
      </c>
      <c r="O60" s="26" t="s">
        <v>137</v>
      </c>
      <c r="P60" s="44"/>
      <c r="Q60" s="44"/>
      <c r="R60" s="44"/>
    </row>
    <row r="61" spans="1:18" ht="57.6" x14ac:dyDescent="0.3">
      <c r="A61" s="43" t="s">
        <v>138</v>
      </c>
      <c r="B61" s="36"/>
      <c r="C61" s="44"/>
      <c r="D61" s="10" t="s">
        <v>14</v>
      </c>
      <c r="E61" s="11" t="s">
        <v>39</v>
      </c>
      <c r="F61" s="26" t="s">
        <v>138</v>
      </c>
      <c r="G61" s="8" t="s">
        <v>40</v>
      </c>
      <c r="H61" s="28" t="s">
        <v>143</v>
      </c>
      <c r="I61" s="38"/>
      <c r="J61" s="45"/>
      <c r="K61" s="14" t="s">
        <v>21</v>
      </c>
      <c r="L61" s="8" t="s">
        <v>42</v>
      </c>
      <c r="M61" s="15" t="s">
        <v>2</v>
      </c>
      <c r="N61" s="26" t="s">
        <v>144</v>
      </c>
      <c r="O61" s="26" t="s">
        <v>145</v>
      </c>
      <c r="P61" s="44" t="s">
        <v>146</v>
      </c>
      <c r="Q61" s="44" t="s">
        <v>76</v>
      </c>
      <c r="R61" s="44" t="s">
        <v>77</v>
      </c>
    </row>
    <row r="62" spans="1:18" x14ac:dyDescent="0.3">
      <c r="A62" s="43"/>
      <c r="B62" s="36"/>
      <c r="C62" s="44"/>
      <c r="D62" s="10" t="s">
        <v>14</v>
      </c>
      <c r="E62" s="11" t="s">
        <v>47</v>
      </c>
      <c r="F62" s="26" t="s">
        <v>48</v>
      </c>
      <c r="G62" s="8" t="s">
        <v>49</v>
      </c>
      <c r="H62" s="26" t="s">
        <v>50</v>
      </c>
      <c r="I62" s="12" t="s">
        <v>51</v>
      </c>
      <c r="J62" s="27" t="s">
        <v>145</v>
      </c>
      <c r="K62" s="14" t="s">
        <v>21</v>
      </c>
      <c r="L62" s="8" t="s">
        <v>52</v>
      </c>
      <c r="M62" s="15" t="s">
        <v>2</v>
      </c>
      <c r="N62" s="26" t="s">
        <v>147</v>
      </c>
      <c r="O62" s="26" t="s">
        <v>148</v>
      </c>
      <c r="P62" s="44"/>
      <c r="Q62" s="44"/>
      <c r="R62" s="44"/>
    </row>
    <row r="63" spans="1:18" x14ac:dyDescent="0.3">
      <c r="A63" s="43"/>
      <c r="B63" s="8" t="s">
        <v>54</v>
      </c>
      <c r="C63" s="26" t="s">
        <v>2</v>
      </c>
      <c r="D63" s="10" t="s">
        <v>14</v>
      </c>
      <c r="E63" s="11" t="s">
        <v>55</v>
      </c>
      <c r="F63" s="26" t="s">
        <v>80</v>
      </c>
      <c r="G63" s="8" t="s">
        <v>57</v>
      </c>
      <c r="H63" s="26" t="s">
        <v>149</v>
      </c>
      <c r="I63" s="12" t="s">
        <v>59</v>
      </c>
      <c r="J63" s="27" t="s">
        <v>81</v>
      </c>
      <c r="K63" s="14" t="s">
        <v>21</v>
      </c>
      <c r="L63" s="8" t="s">
        <v>55</v>
      </c>
      <c r="M63" s="15" t="s">
        <v>2</v>
      </c>
      <c r="N63" s="26" t="s">
        <v>80</v>
      </c>
      <c r="O63" s="26" t="s">
        <v>80</v>
      </c>
      <c r="P63" s="44"/>
      <c r="Q63" s="44"/>
      <c r="R63" s="44"/>
    </row>
    <row r="64" spans="1:18" x14ac:dyDescent="0.3">
      <c r="A64" s="17"/>
      <c r="B64" s="18"/>
      <c r="C64" s="19"/>
      <c r="D64" s="18"/>
      <c r="E64" s="20"/>
      <c r="F64" s="19"/>
      <c r="G64" s="18"/>
      <c r="H64" s="19"/>
      <c r="I64" s="21"/>
      <c r="J64" s="22"/>
      <c r="K64" s="20"/>
      <c r="L64" s="18"/>
      <c r="M64" s="19"/>
      <c r="N64" s="19"/>
      <c r="O64" s="19"/>
      <c r="P64" s="19"/>
      <c r="Q64" s="19"/>
      <c r="R64" s="19"/>
    </row>
    <row r="65" spans="1:18" x14ac:dyDescent="0.3">
      <c r="A65" s="43" t="s">
        <v>133</v>
      </c>
      <c r="B65" s="8" t="s">
        <v>12</v>
      </c>
      <c r="C65" s="26" t="s">
        <v>134</v>
      </c>
      <c r="D65" s="10" t="s">
        <v>14</v>
      </c>
      <c r="E65" s="11" t="s">
        <v>15</v>
      </c>
      <c r="F65" s="26" t="s">
        <v>135</v>
      </c>
      <c r="G65" s="36" t="s">
        <v>17</v>
      </c>
      <c r="H65" s="44" t="s">
        <v>136</v>
      </c>
      <c r="I65" s="12" t="s">
        <v>19</v>
      </c>
      <c r="J65" s="27" t="s">
        <v>20</v>
      </c>
      <c r="K65" s="14" t="s">
        <v>21</v>
      </c>
      <c r="L65" s="8" t="s">
        <v>22</v>
      </c>
      <c r="M65" s="26" t="s">
        <v>133</v>
      </c>
      <c r="N65" s="26" t="s">
        <v>135</v>
      </c>
      <c r="O65" s="26" t="s">
        <v>135</v>
      </c>
      <c r="P65" s="44" t="s">
        <v>136</v>
      </c>
      <c r="Q65" s="44" t="s">
        <v>76</v>
      </c>
      <c r="R65" s="44" t="s">
        <v>77</v>
      </c>
    </row>
    <row r="66" spans="1:18" ht="28.8" x14ac:dyDescent="0.3">
      <c r="A66" s="43"/>
      <c r="B66" s="8" t="s">
        <v>25</v>
      </c>
      <c r="C66" s="26">
        <v>70</v>
      </c>
      <c r="D66" s="10" t="s">
        <v>14</v>
      </c>
      <c r="E66" s="11" t="s">
        <v>26</v>
      </c>
      <c r="F66" s="26" t="s">
        <v>137</v>
      </c>
      <c r="G66" s="36"/>
      <c r="H66" s="44"/>
      <c r="I66" s="12" t="s">
        <v>28</v>
      </c>
      <c r="J66" s="27">
        <v>100</v>
      </c>
      <c r="K66" s="14" t="s">
        <v>21</v>
      </c>
      <c r="L66" s="8" t="s">
        <v>29</v>
      </c>
      <c r="M66" s="26" t="s">
        <v>138</v>
      </c>
      <c r="N66" s="26" t="s">
        <v>138</v>
      </c>
      <c r="O66" s="26" t="s">
        <v>138</v>
      </c>
      <c r="P66" s="44"/>
      <c r="Q66" s="44"/>
      <c r="R66" s="44"/>
    </row>
    <row r="67" spans="1:18" ht="72" x14ac:dyDescent="0.3">
      <c r="A67" s="43"/>
      <c r="B67" s="36" t="s">
        <v>32</v>
      </c>
      <c r="C67" s="44" t="s">
        <v>139</v>
      </c>
      <c r="D67" s="10" t="s">
        <v>14</v>
      </c>
      <c r="E67" s="11" t="s">
        <v>33</v>
      </c>
      <c r="F67" s="26" t="s">
        <v>140</v>
      </c>
      <c r="G67" s="8" t="s">
        <v>35</v>
      </c>
      <c r="H67" s="26" t="s">
        <v>77</v>
      </c>
      <c r="I67" s="38" t="s">
        <v>36</v>
      </c>
      <c r="J67" s="45" t="s">
        <v>141</v>
      </c>
      <c r="K67" s="14" t="s">
        <v>21</v>
      </c>
      <c r="L67" s="8" t="s">
        <v>26</v>
      </c>
      <c r="M67" s="15" t="s">
        <v>2</v>
      </c>
      <c r="N67" s="26" t="s">
        <v>142</v>
      </c>
      <c r="O67" s="26" t="s">
        <v>137</v>
      </c>
      <c r="P67" s="44"/>
      <c r="Q67" s="44"/>
      <c r="R67" s="44"/>
    </row>
    <row r="68" spans="1:18" ht="57.6" x14ac:dyDescent="0.3">
      <c r="A68" s="43" t="s">
        <v>138</v>
      </c>
      <c r="B68" s="36"/>
      <c r="C68" s="44"/>
      <c r="D68" s="10" t="s">
        <v>14</v>
      </c>
      <c r="E68" s="11" t="s">
        <v>39</v>
      </c>
      <c r="F68" s="26" t="s">
        <v>138</v>
      </c>
      <c r="G68" s="8" t="s">
        <v>40</v>
      </c>
      <c r="H68" s="28" t="s">
        <v>143</v>
      </c>
      <c r="I68" s="38"/>
      <c r="J68" s="45"/>
      <c r="K68" s="14" t="s">
        <v>21</v>
      </c>
      <c r="L68" s="8" t="s">
        <v>42</v>
      </c>
      <c r="M68" s="15" t="s">
        <v>2</v>
      </c>
      <c r="N68" s="26" t="s">
        <v>144</v>
      </c>
      <c r="O68" s="26" t="s">
        <v>145</v>
      </c>
      <c r="P68" s="44" t="s">
        <v>146</v>
      </c>
      <c r="Q68" s="44" t="s">
        <v>76</v>
      </c>
      <c r="R68" s="44" t="s">
        <v>77</v>
      </c>
    </row>
    <row r="69" spans="1:18" x14ac:dyDescent="0.3">
      <c r="A69" s="43"/>
      <c r="B69" s="36"/>
      <c r="C69" s="44"/>
      <c r="D69" s="10" t="s">
        <v>14</v>
      </c>
      <c r="E69" s="11" t="s">
        <v>47</v>
      </c>
      <c r="F69" s="26" t="s">
        <v>48</v>
      </c>
      <c r="G69" s="8" t="s">
        <v>49</v>
      </c>
      <c r="H69" s="26" t="s">
        <v>50</v>
      </c>
      <c r="I69" s="12" t="s">
        <v>51</v>
      </c>
      <c r="J69" s="27" t="s">
        <v>145</v>
      </c>
      <c r="K69" s="14" t="s">
        <v>21</v>
      </c>
      <c r="L69" s="8" t="s">
        <v>52</v>
      </c>
      <c r="M69" s="15" t="s">
        <v>2</v>
      </c>
      <c r="N69" s="26" t="s">
        <v>147</v>
      </c>
      <c r="O69" s="26" t="s">
        <v>148</v>
      </c>
      <c r="P69" s="44"/>
      <c r="Q69" s="44"/>
      <c r="R69" s="44"/>
    </row>
    <row r="70" spans="1:18" x14ac:dyDescent="0.3">
      <c r="A70" s="43"/>
      <c r="B70" s="8" t="s">
        <v>54</v>
      </c>
      <c r="C70" s="26" t="s">
        <v>2</v>
      </c>
      <c r="D70" s="10" t="s">
        <v>14</v>
      </c>
      <c r="E70" s="11" t="s">
        <v>55</v>
      </c>
      <c r="F70" s="26" t="s">
        <v>80</v>
      </c>
      <c r="G70" s="8" t="s">
        <v>57</v>
      </c>
      <c r="H70" s="26" t="s">
        <v>149</v>
      </c>
      <c r="I70" s="12" t="s">
        <v>59</v>
      </c>
      <c r="J70" s="27" t="s">
        <v>81</v>
      </c>
      <c r="K70" s="14" t="s">
        <v>21</v>
      </c>
      <c r="L70" s="8" t="s">
        <v>55</v>
      </c>
      <c r="M70" s="15" t="s">
        <v>2</v>
      </c>
      <c r="N70" s="26" t="s">
        <v>80</v>
      </c>
      <c r="O70" s="26" t="s">
        <v>80</v>
      </c>
      <c r="P70" s="44"/>
      <c r="Q70" s="44"/>
      <c r="R70" s="44"/>
    </row>
    <row r="71" spans="1:18" x14ac:dyDescent="0.3">
      <c r="A71" s="17"/>
      <c r="B71" s="29"/>
      <c r="C71" s="19"/>
      <c r="D71" s="29"/>
      <c r="E71" s="30"/>
      <c r="F71" s="19"/>
      <c r="G71" s="29"/>
      <c r="H71" s="19"/>
      <c r="I71" s="31"/>
      <c r="J71" s="22"/>
      <c r="K71" s="30"/>
      <c r="L71" s="29"/>
      <c r="M71" s="19"/>
      <c r="N71" s="19"/>
      <c r="O71" s="19"/>
      <c r="P71" s="19"/>
      <c r="Q71" s="19"/>
      <c r="R71" s="19"/>
    </row>
  </sheetData>
  <mergeCells count="142">
    <mergeCell ref="A65:A67"/>
    <mergeCell ref="G65:G66"/>
    <mergeCell ref="H65:H66"/>
    <mergeCell ref="P65:P67"/>
    <mergeCell ref="Q65:Q67"/>
    <mergeCell ref="R65:R67"/>
    <mergeCell ref="B67:B69"/>
    <mergeCell ref="C67:C69"/>
    <mergeCell ref="I67:I68"/>
    <mergeCell ref="J67:J68"/>
    <mergeCell ref="A68:A70"/>
    <mergeCell ref="P68:P70"/>
    <mergeCell ref="Q68:Q70"/>
    <mergeCell ref="R68:R70"/>
    <mergeCell ref="A58:A60"/>
    <mergeCell ref="G58:G59"/>
    <mergeCell ref="H58:H59"/>
    <mergeCell ref="P58:P60"/>
    <mergeCell ref="Q58:Q60"/>
    <mergeCell ref="R58:R60"/>
    <mergeCell ref="B60:B62"/>
    <mergeCell ref="C60:C62"/>
    <mergeCell ref="I60:I61"/>
    <mergeCell ref="J60:J61"/>
    <mergeCell ref="A61:A63"/>
    <mergeCell ref="P61:P63"/>
    <mergeCell ref="Q61:Q63"/>
    <mergeCell ref="R61:R63"/>
    <mergeCell ref="A51:A53"/>
    <mergeCell ref="G51:G52"/>
    <mergeCell ref="H51:H52"/>
    <mergeCell ref="P51:P53"/>
    <mergeCell ref="Q51:Q53"/>
    <mergeCell ref="R51:R53"/>
    <mergeCell ref="B53:B55"/>
    <mergeCell ref="C53:C55"/>
    <mergeCell ref="I53:I54"/>
    <mergeCell ref="J53:J54"/>
    <mergeCell ref="A54:A56"/>
    <mergeCell ref="P54:P56"/>
    <mergeCell ref="Q54:Q56"/>
    <mergeCell ref="R54:R56"/>
    <mergeCell ref="A44:A46"/>
    <mergeCell ref="G44:G45"/>
    <mergeCell ref="H44:H45"/>
    <mergeCell ref="P44:P46"/>
    <mergeCell ref="Q44:Q46"/>
    <mergeCell ref="R44:R46"/>
    <mergeCell ref="B46:B48"/>
    <mergeCell ref="C46:C48"/>
    <mergeCell ref="I46:I47"/>
    <mergeCell ref="J46:J47"/>
    <mergeCell ref="A47:A49"/>
    <mergeCell ref="P47:P49"/>
    <mergeCell ref="Q47:Q49"/>
    <mergeCell ref="R47:R49"/>
    <mergeCell ref="A37:A39"/>
    <mergeCell ref="G37:G38"/>
    <mergeCell ref="H37:H38"/>
    <mergeCell ref="P37:P39"/>
    <mergeCell ref="Q37:Q39"/>
    <mergeCell ref="R37:R39"/>
    <mergeCell ref="B39:B41"/>
    <mergeCell ref="C39:C41"/>
    <mergeCell ref="I39:I40"/>
    <mergeCell ref="J39:J40"/>
    <mergeCell ref="A40:A42"/>
    <mergeCell ref="P40:P42"/>
    <mergeCell ref="Q40:Q42"/>
    <mergeCell ref="R40:R42"/>
    <mergeCell ref="A30:A32"/>
    <mergeCell ref="G30:G31"/>
    <mergeCell ref="H30:H31"/>
    <mergeCell ref="P30:P32"/>
    <mergeCell ref="Q30:Q32"/>
    <mergeCell ref="R30:R32"/>
    <mergeCell ref="B32:B34"/>
    <mergeCell ref="C32:C34"/>
    <mergeCell ref="I32:I33"/>
    <mergeCell ref="J32:J33"/>
    <mergeCell ref="A33:A35"/>
    <mergeCell ref="P33:P35"/>
    <mergeCell ref="Q33:Q35"/>
    <mergeCell ref="R33:R35"/>
    <mergeCell ref="A23:A25"/>
    <mergeCell ref="G23:G24"/>
    <mergeCell ref="H23:H24"/>
    <mergeCell ref="P23:P25"/>
    <mergeCell ref="Q23:Q25"/>
    <mergeCell ref="R23:R25"/>
    <mergeCell ref="B25:B27"/>
    <mergeCell ref="C25:C27"/>
    <mergeCell ref="I25:I26"/>
    <mergeCell ref="J25:J26"/>
    <mergeCell ref="A26:A28"/>
    <mergeCell ref="P26:P28"/>
    <mergeCell ref="Q26:Q28"/>
    <mergeCell ref="R26:R28"/>
    <mergeCell ref="A16:A18"/>
    <mergeCell ref="G16:G17"/>
    <mergeCell ref="H16:H17"/>
    <mergeCell ref="P16:P18"/>
    <mergeCell ref="Q16:Q18"/>
    <mergeCell ref="R16:R18"/>
    <mergeCell ref="B18:B20"/>
    <mergeCell ref="C18:C20"/>
    <mergeCell ref="I18:I19"/>
    <mergeCell ref="J18:J19"/>
    <mergeCell ref="A19:A21"/>
    <mergeCell ref="P19:P21"/>
    <mergeCell ref="Q19:Q21"/>
    <mergeCell ref="R19:R21"/>
    <mergeCell ref="A9:A11"/>
    <mergeCell ref="G9:G10"/>
    <mergeCell ref="H9:H10"/>
    <mergeCell ref="P9:P11"/>
    <mergeCell ref="Q9:Q11"/>
    <mergeCell ref="R9:R11"/>
    <mergeCell ref="B11:B13"/>
    <mergeCell ref="C11:C13"/>
    <mergeCell ref="I11:I12"/>
    <mergeCell ref="J11:J12"/>
    <mergeCell ref="A12:A14"/>
    <mergeCell ref="P12:P14"/>
    <mergeCell ref="Q12:Q14"/>
    <mergeCell ref="R12:R14"/>
    <mergeCell ref="B1:C1"/>
    <mergeCell ref="E1:J1"/>
    <mergeCell ref="A2:A4"/>
    <mergeCell ref="G2:G3"/>
    <mergeCell ref="H2:H3"/>
    <mergeCell ref="P2:P4"/>
    <mergeCell ref="Q2:Q4"/>
    <mergeCell ref="R2:R4"/>
    <mergeCell ref="B4:B6"/>
    <mergeCell ref="C4:C6"/>
    <mergeCell ref="I4:I5"/>
    <mergeCell ref="J4:J5"/>
    <mergeCell ref="A5:A7"/>
    <mergeCell ref="P5:P7"/>
    <mergeCell ref="Q5:Q7"/>
    <mergeCell ref="R5:R7"/>
  </mergeCells>
  <hyperlinks>
    <hyperlink ref="H5" r:id="rId1" xr:uid="{00000000-0004-0000-0000-000000000000}"/>
    <hyperlink ref="H12" r:id="rId2" xr:uid="{00000000-0004-0000-0000-000001000000}"/>
    <hyperlink ref="H19" r:id="rId3" xr:uid="{00000000-0004-0000-0000-000002000000}"/>
    <hyperlink ref="H26" r:id="rId4" xr:uid="{00000000-0004-0000-0000-000003000000}"/>
    <hyperlink ref="H33" r:id="rId5" xr:uid="{00000000-0004-0000-0000-000004000000}"/>
    <hyperlink ref="H40" r:id="rId6" xr:uid="{00000000-0004-0000-0000-000005000000}"/>
    <hyperlink ref="H47" r:id="rId7" xr:uid="{00000000-0004-0000-0000-000006000000}"/>
    <hyperlink ref="H54" r:id="rId8" xr:uid="{00000000-0004-0000-0000-000007000000}"/>
    <hyperlink ref="H61" r:id="rId9" xr:uid="{00000000-0004-0000-0000-000008000000}"/>
    <hyperlink ref="H68" r:id="rId10" xr:uid="{00000000-0004-0000-0000-000009000000}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workbookViewId="0"/>
  </sheetViews>
  <sheetFormatPr defaultRowHeight="14.4" x14ac:dyDescent="0.3"/>
  <cols>
    <col min="1" max="1" width="17" style="32" customWidth="1"/>
    <col min="2" max="2" width="18" style="32" customWidth="1"/>
    <col min="3" max="3" width="17" style="32" customWidth="1"/>
    <col min="4" max="5" width="18" customWidth="1"/>
    <col min="6" max="6" width="10" customWidth="1"/>
    <col min="7" max="7" width="18" customWidth="1"/>
    <col min="8" max="8" width="31" customWidth="1"/>
  </cols>
  <sheetData>
    <row r="1" spans="1:8" x14ac:dyDescent="0.3">
      <c r="A1" s="46" t="s">
        <v>150</v>
      </c>
      <c r="B1" s="46"/>
      <c r="C1" s="46"/>
      <c r="D1" s="46"/>
      <c r="E1" s="46"/>
      <c r="G1" s="33" t="s">
        <v>151</v>
      </c>
      <c r="H1" s="33" t="s">
        <v>152</v>
      </c>
    </row>
    <row r="2" spans="1:8" x14ac:dyDescent="0.3">
      <c r="A2" s="46"/>
      <c r="B2" s="46"/>
      <c r="C2" s="46"/>
      <c r="D2" s="46"/>
      <c r="E2" s="46"/>
      <c r="G2" t="s">
        <v>115</v>
      </c>
      <c r="H2" t="s">
        <v>153</v>
      </c>
    </row>
    <row r="3" spans="1:8" x14ac:dyDescent="0.3">
      <c r="A3" s="46"/>
      <c r="B3" s="46"/>
      <c r="C3" s="46"/>
      <c r="D3" s="46"/>
      <c r="E3" s="46"/>
      <c r="G3" t="s">
        <v>115</v>
      </c>
      <c r="H3" t="s">
        <v>154</v>
      </c>
    </row>
    <row r="4" spans="1:8" x14ac:dyDescent="0.3">
      <c r="A4" s="46"/>
      <c r="B4" s="46"/>
      <c r="C4" s="46"/>
      <c r="D4" s="46"/>
      <c r="E4" s="46"/>
    </row>
    <row r="5" spans="1:8" x14ac:dyDescent="0.3">
      <c r="A5" s="46"/>
      <c r="B5" s="46"/>
      <c r="C5" s="46"/>
      <c r="D5" s="46"/>
      <c r="E5" s="46"/>
    </row>
    <row r="6" spans="1:8" x14ac:dyDescent="0.3">
      <c r="A6" s="46"/>
      <c r="B6" s="46"/>
      <c r="C6" s="46"/>
      <c r="D6" s="46"/>
      <c r="E6" s="46"/>
    </row>
    <row r="7" spans="1:8" x14ac:dyDescent="0.3">
      <c r="A7" s="46"/>
      <c r="B7" s="46"/>
      <c r="C7" s="46"/>
      <c r="D7" s="46"/>
      <c r="E7" s="46"/>
    </row>
    <row r="8" spans="1:8" x14ac:dyDescent="0.3">
      <c r="A8" s="46"/>
      <c r="B8" s="46"/>
      <c r="C8" s="46"/>
      <c r="D8" s="46"/>
      <c r="E8" s="46"/>
    </row>
    <row r="9" spans="1:8" x14ac:dyDescent="0.3">
      <c r="A9" s="46"/>
      <c r="B9" s="46"/>
      <c r="C9" s="46"/>
      <c r="D9" s="46"/>
      <c r="E9" s="46"/>
    </row>
    <row r="10" spans="1:8" x14ac:dyDescent="0.3">
      <c r="A10" s="46"/>
      <c r="B10" s="46"/>
      <c r="C10" s="46"/>
      <c r="D10" s="46"/>
      <c r="E10" s="46"/>
    </row>
    <row r="11" spans="1:8" x14ac:dyDescent="0.3">
      <c r="A11" s="46"/>
      <c r="B11" s="46"/>
      <c r="C11" s="46"/>
      <c r="D11" s="46"/>
      <c r="E11" s="46"/>
    </row>
    <row r="12" spans="1:8" x14ac:dyDescent="0.3">
      <c r="A12" s="46"/>
      <c r="B12" s="46"/>
      <c r="C12" s="46"/>
      <c r="D12" s="46"/>
      <c r="E12" s="46"/>
    </row>
    <row r="13" spans="1:8" x14ac:dyDescent="0.3">
      <c r="A13" s="46"/>
      <c r="B13" s="46"/>
      <c r="C13" s="46"/>
      <c r="D13" s="46"/>
      <c r="E13" s="46"/>
    </row>
    <row r="14" spans="1:8" x14ac:dyDescent="0.3">
      <c r="A14" s="46"/>
      <c r="B14" s="46"/>
      <c r="C14" s="46"/>
      <c r="D14" s="46"/>
      <c r="E14" s="46"/>
    </row>
    <row r="15" spans="1:8" x14ac:dyDescent="0.3">
      <c r="A15" s="46"/>
      <c r="B15" s="46"/>
      <c r="C15" s="46"/>
      <c r="D15" s="46"/>
      <c r="E15" s="46"/>
    </row>
    <row r="16" spans="1:8" x14ac:dyDescent="0.3">
      <c r="A16" s="46"/>
      <c r="B16" s="46"/>
      <c r="C16" s="46"/>
      <c r="D16" s="46"/>
      <c r="E16" s="46"/>
    </row>
    <row r="17" spans="1:5" x14ac:dyDescent="0.3">
      <c r="A17" s="46"/>
      <c r="B17" s="46"/>
      <c r="C17" s="46"/>
      <c r="D17" s="46"/>
      <c r="E17" s="46"/>
    </row>
    <row r="18" spans="1:5" x14ac:dyDescent="0.3">
      <c r="A18" s="46"/>
      <c r="B18" s="46"/>
      <c r="C18" s="46"/>
      <c r="D18" s="46"/>
      <c r="E18" s="46"/>
    </row>
    <row r="19" spans="1:5" x14ac:dyDescent="0.3">
      <c r="A19" s="46"/>
      <c r="B19" s="46"/>
      <c r="C19" s="46"/>
      <c r="D19" s="46"/>
      <c r="E19" s="46"/>
    </row>
    <row r="20" spans="1:5" x14ac:dyDescent="0.3">
      <c r="A20" s="46"/>
      <c r="B20" s="46"/>
      <c r="C20" s="46"/>
      <c r="D20" s="46"/>
      <c r="E20" s="46"/>
    </row>
    <row r="21" spans="1:5" x14ac:dyDescent="0.3">
      <c r="A21" s="46"/>
      <c r="B21" s="46"/>
      <c r="C21" s="46"/>
      <c r="D21" s="46"/>
      <c r="E21" s="46"/>
    </row>
    <row r="22" spans="1:5" x14ac:dyDescent="0.3">
      <c r="A22" s="46"/>
      <c r="B22" s="46"/>
      <c r="C22" s="46"/>
      <c r="D22" s="46"/>
      <c r="E22" s="46"/>
    </row>
    <row r="23" spans="1:5" x14ac:dyDescent="0.3">
      <c r="A23" s="46"/>
      <c r="B23" s="46"/>
      <c r="C23" s="46"/>
      <c r="D23" s="46"/>
      <c r="E23" s="46"/>
    </row>
    <row r="24" spans="1:5" x14ac:dyDescent="0.3">
      <c r="A24" s="46"/>
      <c r="B24" s="46"/>
      <c r="C24" s="46"/>
      <c r="D24" s="46"/>
      <c r="E24" s="46"/>
    </row>
    <row r="25" spans="1:5" x14ac:dyDescent="0.3">
      <c r="A25" s="46"/>
      <c r="B25" s="46"/>
      <c r="C25" s="46"/>
      <c r="D25" s="46"/>
      <c r="E25" s="46"/>
    </row>
    <row r="26" spans="1:5" x14ac:dyDescent="0.3">
      <c r="A26" s="46"/>
      <c r="B26" s="46"/>
      <c r="C26" s="46"/>
      <c r="D26" s="46"/>
      <c r="E26" s="46"/>
    </row>
    <row r="27" spans="1:5" x14ac:dyDescent="0.3">
      <c r="A27" s="46"/>
      <c r="B27" s="46"/>
      <c r="C27" s="46"/>
      <c r="D27" s="46"/>
      <c r="E27" s="46"/>
    </row>
    <row r="28" spans="1:5" x14ac:dyDescent="0.3">
      <c r="A28" s="46"/>
      <c r="B28" s="46"/>
      <c r="C28" s="46"/>
      <c r="D28" s="46"/>
      <c r="E28" s="46"/>
    </row>
    <row r="29" spans="1:5" x14ac:dyDescent="0.3">
      <c r="A29" s="46"/>
      <c r="B29" s="46"/>
      <c r="C29" s="46"/>
      <c r="D29" s="46"/>
      <c r="E29" s="46"/>
    </row>
    <row r="30" spans="1:5" x14ac:dyDescent="0.3">
      <c r="A30" s="46"/>
      <c r="B30" s="46"/>
      <c r="C30" s="46"/>
      <c r="D30" s="46"/>
      <c r="E30" s="46"/>
    </row>
    <row r="31" spans="1:5" x14ac:dyDescent="0.3">
      <c r="A31" s="46"/>
      <c r="B31" s="46"/>
      <c r="C31" s="46"/>
      <c r="D31" s="46"/>
      <c r="E31" s="46"/>
    </row>
    <row r="32" spans="1:5" x14ac:dyDescent="0.3">
      <c r="A32" s="46"/>
      <c r="B32" s="46"/>
      <c r="C32" s="46"/>
      <c r="D32" s="46"/>
      <c r="E32" s="46"/>
    </row>
    <row r="33" spans="1:5" x14ac:dyDescent="0.3">
      <c r="A33" s="46"/>
      <c r="B33" s="46"/>
      <c r="C33" s="46"/>
      <c r="D33" s="46"/>
      <c r="E33" s="46"/>
    </row>
    <row r="34" spans="1:5" x14ac:dyDescent="0.3">
      <c r="A34" s="46"/>
      <c r="B34" s="46"/>
      <c r="C34" s="46"/>
      <c r="D34" s="46"/>
      <c r="E34" s="46"/>
    </row>
    <row r="35" spans="1:5" x14ac:dyDescent="0.3">
      <c r="A35" s="46"/>
      <c r="B35" s="46"/>
      <c r="C35" s="46"/>
      <c r="D35" s="46"/>
      <c r="E35" s="46"/>
    </row>
    <row r="36" spans="1:5" x14ac:dyDescent="0.3">
      <c r="A36" s="46"/>
      <c r="B36" s="46"/>
      <c r="C36" s="46"/>
      <c r="D36" s="46"/>
      <c r="E36" s="46"/>
    </row>
    <row r="37" spans="1:5" x14ac:dyDescent="0.3">
      <c r="A37" s="46"/>
      <c r="B37" s="46"/>
      <c r="C37" s="46"/>
      <c r="D37" s="46"/>
      <c r="E37" s="46"/>
    </row>
    <row r="38" spans="1:5" x14ac:dyDescent="0.3">
      <c r="A38" s="46"/>
      <c r="B38" s="46"/>
      <c r="C38" s="46"/>
      <c r="D38" s="46"/>
      <c r="E38" s="46"/>
    </row>
    <row r="39" spans="1:5" x14ac:dyDescent="0.3">
      <c r="A39" s="46"/>
      <c r="B39" s="46"/>
      <c r="C39" s="46"/>
      <c r="D39" s="46"/>
      <c r="E39" s="46"/>
    </row>
    <row r="40" spans="1:5" x14ac:dyDescent="0.3">
      <c r="A40" s="46"/>
      <c r="B40" s="46"/>
      <c r="C40" s="46"/>
      <c r="D40" s="46"/>
      <c r="E40" s="46"/>
    </row>
  </sheetData>
  <mergeCells count="1">
    <mergeCell ref="A1:E40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"/>
  <sheetViews>
    <sheetView workbookViewId="0"/>
  </sheetViews>
  <sheetFormatPr defaultRowHeight="14.4" x14ac:dyDescent="0.3"/>
  <cols>
    <col min="1" max="1" width="17" customWidth="1"/>
    <col min="2" max="2" width="18" customWidth="1"/>
    <col min="3" max="3" width="17" customWidth="1"/>
    <col min="4" max="5" width="18" customWidth="1"/>
    <col min="6" max="6" width="10" customWidth="1"/>
    <col min="7" max="7" width="18" customWidth="1"/>
    <col min="8" max="8" width="17" customWidth="1"/>
    <col min="9" max="12" width="18" customWidth="1"/>
    <col min="13" max="14" width="17" customWidth="1"/>
    <col min="15" max="15" width="13" customWidth="1"/>
    <col min="16" max="18" width="17" customWidth="1"/>
    <col min="19" max="19" width="10" customWidth="1"/>
    <col min="20" max="20" width="18" customWidth="1"/>
    <col min="21" max="22" width="17" customWidth="1"/>
    <col min="23" max="23" width="12" customWidth="1"/>
  </cols>
  <sheetData>
    <row r="1" spans="1:23" s="33" customFormat="1" x14ac:dyDescent="0.3">
      <c r="A1" s="33" t="s">
        <v>155</v>
      </c>
      <c r="B1" s="33" t="s">
        <v>156</v>
      </c>
      <c r="C1" s="33" t="s">
        <v>157</v>
      </c>
      <c r="D1" s="33" t="s">
        <v>158</v>
      </c>
      <c r="E1" s="33" t="s">
        <v>159</v>
      </c>
      <c r="F1" s="33" t="s">
        <v>160</v>
      </c>
      <c r="G1" s="33" t="s">
        <v>161</v>
      </c>
      <c r="H1" s="33" t="s">
        <v>162</v>
      </c>
      <c r="I1" s="33" t="s">
        <v>163</v>
      </c>
      <c r="J1" s="33" t="s">
        <v>164</v>
      </c>
      <c r="K1" s="33" t="s">
        <v>165</v>
      </c>
      <c r="L1" s="33" t="s">
        <v>166</v>
      </c>
      <c r="M1" s="33" t="s">
        <v>167</v>
      </c>
      <c r="N1" s="33" t="s">
        <v>168</v>
      </c>
      <c r="O1" s="33" t="s">
        <v>169</v>
      </c>
      <c r="P1" s="33" t="s">
        <v>170</v>
      </c>
      <c r="Q1" s="33" t="s">
        <v>171</v>
      </c>
      <c r="R1" s="33" t="s">
        <v>172</v>
      </c>
      <c r="S1" s="33" t="s">
        <v>173</v>
      </c>
      <c r="T1" s="33" t="s">
        <v>174</v>
      </c>
      <c r="U1" s="33" t="s">
        <v>175</v>
      </c>
      <c r="V1" s="33" t="s">
        <v>176</v>
      </c>
      <c r="W1" s="33" t="s">
        <v>177</v>
      </c>
    </row>
    <row r="2" spans="1:23" x14ac:dyDescent="0.3">
      <c r="A2" t="str">
        <f>'Full Data'!F2</f>
        <v>(-)-Borneol</v>
      </c>
      <c r="B2" t="str">
        <f>'Full Data'!J6</f>
        <v>C10H18O</v>
      </c>
      <c r="C2" t="str">
        <f>'Full Data'!F3</f>
        <v>endo-(1S)-1,7,7-Trimethylbicyclo[2.2.1]heptan-2-ol</v>
      </c>
      <c r="D2" t="s">
        <v>2</v>
      </c>
      <c r="E2" t="str">
        <f>'Full Data'!F4</f>
        <v>Aldrich</v>
      </c>
      <c r="F2" t="s">
        <v>2</v>
      </c>
      <c r="G2" t="s">
        <v>2</v>
      </c>
      <c r="H2" t="str">
        <f>'Full Data'!F5</f>
        <v>464-45-9</v>
      </c>
      <c r="I2" t="str">
        <f>'Full Data'!F6</f>
        <v>Organic compound</v>
      </c>
      <c r="J2" t="s">
        <v>2</v>
      </c>
      <c r="K2" t="str">
        <f>'Full Data'!F7</f>
        <v>Danger</v>
      </c>
      <c r="L2" t="str">
        <f>'Full Data'!H2</f>
        <v>Flammable solid
May form combustible dust concentrations in air
Causes skin irritation
Causes serious eye irritation</v>
      </c>
      <c r="M2" t="str">
        <f>'Full Data'!H4</f>
        <v>FL, IR</v>
      </c>
      <c r="N2" t="str">
        <f>'Full Data'!H5</f>
        <v>https://www.fishersci.com/store/msds?partNumber=AAA1268430&amp;productDescription=borneol-assay-g&amp;vendorId=VN00024248&amp;keyword=true&amp;countryCode=US&amp;language=en</v>
      </c>
      <c r="O2" t="s">
        <v>178</v>
      </c>
      <c r="P2" t="str">
        <f>'Full Data'!H6</f>
        <v>6-144</v>
      </c>
      <c r="Q2" t="str">
        <f>'Full Data'!H7</f>
        <v>B-3</v>
      </c>
      <c r="R2" t="str">
        <f>'Full Data'!J2</f>
        <v>g</v>
      </c>
      <c r="S2" t="s">
        <v>2</v>
      </c>
      <c r="T2" t="s">
        <v>2</v>
      </c>
      <c r="U2">
        <f>'Full Data'!J3</f>
        <v>50</v>
      </c>
      <c r="V2" t="str">
        <f>'Full Data'!J4</f>
        <v>Keep containers tightly closed in a dry, cool and well-ventilated place. Keep away from heat, sparks and flame. Flammables area. Incompatible Materials. Strong oxidizing agents.</v>
      </c>
      <c r="W2" t="s">
        <v>2</v>
      </c>
    </row>
    <row r="3" spans="1:23" x14ac:dyDescent="0.3">
      <c r="A3" t="str">
        <f>'Full Data'!F9</f>
        <v>L(-)-Carvone</v>
      </c>
      <c r="B3" t="str">
        <f>'Full Data'!J13</f>
        <v>C10H14O</v>
      </c>
      <c r="C3" t="str">
        <f>'Full Data'!F10</f>
        <v>(R)-(-)-p-Mentha-6,8-dien-2-one</v>
      </c>
      <c r="D3" t="s">
        <v>2</v>
      </c>
      <c r="E3" t="str">
        <f>'Full Data'!F11</f>
        <v>Fluka</v>
      </c>
      <c r="F3" t="s">
        <v>2</v>
      </c>
      <c r="G3" t="s">
        <v>2</v>
      </c>
      <c r="H3" t="str">
        <f>'Full Data'!F12</f>
        <v>6485-40-1</v>
      </c>
      <c r="I3" t="str">
        <f>'Full Data'!F13</f>
        <v>Organic compound</v>
      </c>
      <c r="J3" t="s">
        <v>2</v>
      </c>
      <c r="K3" t="str">
        <f>'Full Data'!F14</f>
        <v>Warning</v>
      </c>
      <c r="L3" t="str">
        <f>'Full Data'!H9</f>
        <v>May cause an allergic skin reaction
Flammable liquids</v>
      </c>
      <c r="M3" t="str">
        <f>'Full Data'!H11</f>
        <v>IR, FL</v>
      </c>
      <c r="N3" t="str">
        <f>'Full Data'!H12</f>
        <v>https://www.fishersci.com/store/msds?partNumber=AC154591000&amp;productDescription=l-carvone-gr&amp;vendorId=VN00032119&amp;keyword=true&amp;countryCode=US&amp;language=en</v>
      </c>
      <c r="O3" t="s">
        <v>178</v>
      </c>
      <c r="P3" t="str">
        <f>'Full Data'!H13</f>
        <v xml:space="preserve">6-144 </v>
      </c>
      <c r="Q3" t="str">
        <f>'Full Data'!H14</f>
        <v>B-3</v>
      </c>
      <c r="R3" t="str">
        <f>'Full Data'!J9</f>
        <v>mL</v>
      </c>
      <c r="S3" t="s">
        <v>2</v>
      </c>
      <c r="T3" t="s">
        <v>2</v>
      </c>
      <c r="U3">
        <f>'Full Data'!J10</f>
        <v>15</v>
      </c>
      <c r="V3" t="str">
        <f>'Full Data'!J11</f>
        <v>Keep containers tightly closed in a dry, cool and well-ventilated place. Keep away from heat, sparks and flame. Incompatible Materials. Strong oxidizing agents. Strong acids. Strong bases.</v>
      </c>
      <c r="W3" t="s">
        <v>2</v>
      </c>
    </row>
    <row r="4" spans="1:23" x14ac:dyDescent="0.3">
      <c r="A4" t="str">
        <f>'Full Data'!F16</f>
        <v>(S)-(+)-Carvone</v>
      </c>
      <c r="B4" t="str">
        <f>'Full Data'!J20</f>
        <v>C10H14O</v>
      </c>
      <c r="C4" t="str">
        <f>'Full Data'!F17</f>
        <v>(S)-(+)-p-Mentha-6,8-dien-2-one</v>
      </c>
      <c r="D4" t="s">
        <v>2</v>
      </c>
      <c r="E4" t="str">
        <f>'Full Data'!F18</f>
        <v>Fluka</v>
      </c>
      <c r="F4" t="s">
        <v>2</v>
      </c>
      <c r="G4" t="s">
        <v>2</v>
      </c>
      <c r="H4" t="str">
        <f>'Full Data'!F19</f>
        <v>2244-16-8</v>
      </c>
      <c r="I4" t="str">
        <f>'Full Data'!F20</f>
        <v>Organic compound</v>
      </c>
      <c r="J4" t="s">
        <v>2</v>
      </c>
      <c r="K4" t="str">
        <f>'Full Data'!F21</f>
        <v>Warning</v>
      </c>
      <c r="L4" t="str">
        <f>'Full Data'!H16</f>
        <v>May cause an allergic skin reaction</v>
      </c>
      <c r="M4" t="str">
        <f>'Full Data'!H18</f>
        <v>IR</v>
      </c>
      <c r="N4" t="str">
        <f>'Full Data'!H19</f>
        <v>https://www.fishersci.com/store/msds?partNumber=AAL0713014&amp;productDescription=s-carvone-g&amp;vendorId=VN00024248&amp;keyword=true&amp;countryCode=US&amp;language=en</v>
      </c>
      <c r="O4" t="s">
        <v>178</v>
      </c>
      <c r="P4" t="str">
        <f>'Full Data'!H20</f>
        <v>6-144</v>
      </c>
      <c r="Q4" t="str">
        <f>'Full Data'!H21</f>
        <v>B-3</v>
      </c>
      <c r="R4" t="str">
        <f>'Full Data'!J16</f>
        <v>mL</v>
      </c>
      <c r="S4" t="s">
        <v>2</v>
      </c>
      <c r="T4" t="s">
        <v>2</v>
      </c>
      <c r="U4">
        <f>'Full Data'!J17</f>
        <v>15</v>
      </c>
      <c r="V4" t="str">
        <f>'Full Data'!J18</f>
        <v>Keep containers tightly closed in a dry, cool and well-ventilated place. Store under an inert atmosphere. Protect from light. Incompatible Materials. Strong oxidizing agents. Strong reducing agents.</v>
      </c>
      <c r="W4" t="s">
        <v>2</v>
      </c>
    </row>
    <row r="5" spans="1:23" x14ac:dyDescent="0.3">
      <c r="A5" t="str">
        <f>'Full Data'!F23</f>
        <v>1,10-Phenanthroline monohydrate</v>
      </c>
      <c r="B5" t="str">
        <f>'Full Data'!J27</f>
        <v>C12H8N2.H2O</v>
      </c>
      <c r="C5" t="str">
        <f>'Full Data'!F24</f>
        <v>o-Phenanthroline monohydrate</v>
      </c>
      <c r="D5" t="s">
        <v>2</v>
      </c>
      <c r="E5" t="str">
        <f>'Full Data'!F25</f>
        <v>Kodak</v>
      </c>
      <c r="F5" t="s">
        <v>2</v>
      </c>
      <c r="G5" t="s">
        <v>2</v>
      </c>
      <c r="H5" t="str">
        <f>'Full Data'!F26</f>
        <v>5144-89-8</v>
      </c>
      <c r="I5" t="str">
        <f>'Full Data'!F27</f>
        <v>Organic compound</v>
      </c>
      <c r="J5" t="s">
        <v>2</v>
      </c>
      <c r="K5" t="str">
        <f>'Full Data'!F28</f>
        <v>Danger</v>
      </c>
      <c r="L5" t="str">
        <f>'Full Data'!H23</f>
        <v>Toxic if swallowed</v>
      </c>
      <c r="M5" t="str">
        <f>'Full Data'!H25</f>
        <v>AC</v>
      </c>
      <c r="N5" t="str">
        <f>'Full Data'!H26</f>
        <v>https://www.fishersci.com/store/msds?partNumber=AA3091009&amp;productDescription=phenanthroline-acs-g&amp;vendorId=VN00024248&amp;keyword=true&amp;countryCode=US&amp;language=en</v>
      </c>
      <c r="O5" t="s">
        <v>178</v>
      </c>
      <c r="P5" t="str">
        <f>'Full Data'!H27</f>
        <v>6-144</v>
      </c>
      <c r="Q5" t="str">
        <f>'Full Data'!H28</f>
        <v>B-5</v>
      </c>
      <c r="R5" t="str">
        <f>'Full Data'!J23</f>
        <v>g</v>
      </c>
      <c r="S5" t="s">
        <v>2</v>
      </c>
      <c r="T5" t="s">
        <v>2</v>
      </c>
      <c r="U5">
        <f>'Full Data'!J24</f>
        <v>5</v>
      </c>
      <c r="V5" t="str">
        <f>'Full Data'!J25</f>
        <v>Keep containers tightly closed in a dry, cool and well-ventilated place. Keep under nitrogen. Incompatible Materials. Strong oxidizing agents. Strong acids.</v>
      </c>
      <c r="W5" t="s">
        <v>2</v>
      </c>
    </row>
    <row r="6" spans="1:23" x14ac:dyDescent="0.3">
      <c r="A6" t="str">
        <f>'Full Data'!F30</f>
        <v>1,10-Phenanthroline monohydrochloride monohydrate</v>
      </c>
      <c r="B6" t="str">
        <f>'Full Data'!J34</f>
        <v>C12H8N2.HCl.H2O</v>
      </c>
      <c r="C6" t="str">
        <f>'Full Data'!F31</f>
        <v>No information available</v>
      </c>
      <c r="D6" t="s">
        <v>2</v>
      </c>
      <c r="E6" t="str">
        <f>'Full Data'!F32</f>
        <v>J.T. Baker</v>
      </c>
      <c r="F6" t="s">
        <v>2</v>
      </c>
      <c r="G6" t="s">
        <v>2</v>
      </c>
      <c r="H6" t="str">
        <f>'Full Data'!F33</f>
        <v>18851-33-7</v>
      </c>
      <c r="I6" t="str">
        <f>'Full Data'!F34</f>
        <v>Organic compound</v>
      </c>
      <c r="J6" t="s">
        <v>2</v>
      </c>
      <c r="K6" t="str">
        <f>'Full Data'!F35</f>
        <v>Danger</v>
      </c>
      <c r="L6" t="str">
        <f>'Full Data'!H30</f>
        <v>Toxic if swallowed</v>
      </c>
      <c r="M6" t="str">
        <f>'Full Data'!H32</f>
        <v>AC</v>
      </c>
      <c r="N6" t="str">
        <f>'Full Data'!H33</f>
        <v>https://www.fishersci.com/store/msds?partNumber=AC130141000&amp;productDescription=-phenanthroline-mono-gr&amp;vendorId=VN00032119&amp;keyword=true&amp;countryCode=US&amp;language=en</v>
      </c>
      <c r="O6" t="s">
        <v>178</v>
      </c>
      <c r="P6" t="str">
        <f>'Full Data'!H34</f>
        <v>6-144</v>
      </c>
      <c r="Q6" t="str">
        <f>'Full Data'!H35</f>
        <v>B-5</v>
      </c>
      <c r="R6" t="str">
        <f>'Full Data'!J30</f>
        <v>g</v>
      </c>
      <c r="S6" t="s">
        <v>2</v>
      </c>
      <c r="T6" t="s">
        <v>2</v>
      </c>
      <c r="U6">
        <f>'Full Data'!J31</f>
        <v>5</v>
      </c>
      <c r="V6" t="str">
        <f>'Full Data'!J32</f>
        <v>Keep containers tightly closed in a dry, cool and well-ventilated place. Incompatible Materials. Strong oxidizing agents. Strong acids. Strong bases.</v>
      </c>
      <c r="W6" t="s">
        <v>2</v>
      </c>
    </row>
    <row r="7" spans="1:23" x14ac:dyDescent="0.3">
      <c r="A7" t="str">
        <f>'Full Data'!F37</f>
        <v>1,10-Phenanthroline monohydrochloride monohydrate</v>
      </c>
      <c r="B7" t="str">
        <f>'Full Data'!J41</f>
        <v>C12H8N2.HCl.H2O</v>
      </c>
      <c r="C7" t="str">
        <f>'Full Data'!F38</f>
        <v>No information available</v>
      </c>
      <c r="D7" t="s">
        <v>2</v>
      </c>
      <c r="E7" t="str">
        <f>'Full Data'!F39</f>
        <v>J.T. Baker</v>
      </c>
      <c r="F7" t="s">
        <v>2</v>
      </c>
      <c r="G7" t="s">
        <v>2</v>
      </c>
      <c r="H7" t="str">
        <f>'Full Data'!F40</f>
        <v>18851-33-7</v>
      </c>
      <c r="I7" t="str">
        <f>'Full Data'!F41</f>
        <v>Organic compound</v>
      </c>
      <c r="J7" t="s">
        <v>2</v>
      </c>
      <c r="K7" t="str">
        <f>'Full Data'!F42</f>
        <v>Danger</v>
      </c>
      <c r="L7" t="str">
        <f>'Full Data'!H37</f>
        <v>Toxic if swallowed</v>
      </c>
      <c r="M7" t="str">
        <f>'Full Data'!H39</f>
        <v>AC</v>
      </c>
      <c r="N7" t="str">
        <f>'Full Data'!H40</f>
        <v>https://www.fishersci.com/store/msds?partNumber=AC130141000&amp;productDescription=-phenanthroline-mono-gr&amp;vendorId=VN00032119&amp;keyword=true&amp;countryCode=US&amp;language=en</v>
      </c>
      <c r="O7" t="s">
        <v>178</v>
      </c>
      <c r="P7" t="str">
        <f>'Full Data'!H41</f>
        <v>6-144</v>
      </c>
      <c r="Q7" t="str">
        <f>'Full Data'!H42</f>
        <v>B-5</v>
      </c>
      <c r="R7" t="str">
        <f>'Full Data'!J37</f>
        <v>g</v>
      </c>
      <c r="S7" t="s">
        <v>2</v>
      </c>
      <c r="T7" t="s">
        <v>2</v>
      </c>
      <c r="U7">
        <f>'Full Data'!J38</f>
        <v>5</v>
      </c>
      <c r="V7" t="str">
        <f>'Full Data'!J39</f>
        <v>Keep containers tightly closed in a dry, cool and well-ventilated place. Incompatible Materials. Strong oxidizing agents. Strong acids. Strong bases.</v>
      </c>
      <c r="W7" t="s">
        <v>2</v>
      </c>
    </row>
    <row r="8" spans="1:23" x14ac:dyDescent="0.3">
      <c r="A8" t="str">
        <f>'Full Data'!F44</f>
        <v>1,1,1-Trichloro-2-methyl-2-propanol hemihydrate</v>
      </c>
      <c r="B8" t="str">
        <f>'Full Data'!J48</f>
        <v>C4H7Cl3O.0.5H2O</v>
      </c>
      <c r="C8" t="str">
        <f>'Full Data'!F45</f>
        <v>beta,beta,beta-Trichloro-tert-butyl alcohol</v>
      </c>
      <c r="D8" t="s">
        <v>2</v>
      </c>
      <c r="E8" t="str">
        <f>'Full Data'!F46</f>
        <v>Eastman Kodak</v>
      </c>
      <c r="F8" t="s">
        <v>2</v>
      </c>
      <c r="G8" t="s">
        <v>2</v>
      </c>
      <c r="H8" t="str">
        <f>'Full Data'!F47</f>
        <v>6001-64-5</v>
      </c>
      <c r="I8" t="str">
        <f>'Full Data'!F48</f>
        <v>Organic compound</v>
      </c>
      <c r="J8" t="s">
        <v>2</v>
      </c>
      <c r="K8" t="str">
        <f>'Full Data'!F49</f>
        <v>Warning</v>
      </c>
      <c r="L8" t="str">
        <f>'Full Data'!H44</f>
        <v>Causes skin irritation
Causes serious eye irritation
May cause respiratory irritation</v>
      </c>
      <c r="M8" t="str">
        <f>'Full Data'!H46</f>
        <v>IR</v>
      </c>
      <c r="N8" t="str">
        <f>'Full Data'!H47</f>
        <v>https://www.fishersci.com/store/msds?partNumber=AC150305000&amp;productDescription=--trichloromethyl-gr&amp;vendorId=VN00032119&amp;keyword=true&amp;countryCode=US&amp;language=en</v>
      </c>
      <c r="O8" t="s">
        <v>178</v>
      </c>
      <c r="P8" t="str">
        <f>'Full Data'!H48</f>
        <v>6-144</v>
      </c>
      <c r="Q8" t="str">
        <f>'Full Data'!H49</f>
        <v>B- 6</v>
      </c>
      <c r="R8" t="str">
        <f>'Full Data'!J44</f>
        <v>g</v>
      </c>
      <c r="S8" t="s">
        <v>2</v>
      </c>
      <c r="T8" t="s">
        <v>2</v>
      </c>
      <c r="U8">
        <f>'Full Data'!J45</f>
        <v>100</v>
      </c>
      <c r="V8" t="str">
        <f>'Full Data'!J46</f>
        <v>Keep in a dry, cool and well-ventilated place. Keep container tightly closed. Incompatible Materials. Acids. Strong oxidizing agents. Acid anhydrides. Acid chlorides. Metals.</v>
      </c>
      <c r="W8" t="s">
        <v>2</v>
      </c>
    </row>
    <row r="9" spans="1:23" x14ac:dyDescent="0.3">
      <c r="A9" t="str">
        <f>'Full Data'!F51</f>
        <v>1,1,1-Trichloro-2-methyl-2-propanol hemihydrate</v>
      </c>
      <c r="B9" t="str">
        <f>'Full Data'!J55</f>
        <v>C4H7Cl3O.0.5H2O</v>
      </c>
      <c r="C9" t="str">
        <f>'Full Data'!F52</f>
        <v>beta,beta,beta-Trichloro-tert-butyl alcohol</v>
      </c>
      <c r="D9" t="s">
        <v>2</v>
      </c>
      <c r="E9" t="str">
        <f>'Full Data'!F53</f>
        <v>Eastman Kodak</v>
      </c>
      <c r="F9" t="s">
        <v>2</v>
      </c>
      <c r="G9" t="s">
        <v>2</v>
      </c>
      <c r="H9" t="str">
        <f>'Full Data'!F54</f>
        <v>6001-64-5</v>
      </c>
      <c r="I9" t="str">
        <f>'Full Data'!F55</f>
        <v>Organic compound</v>
      </c>
      <c r="J9" t="s">
        <v>2</v>
      </c>
      <c r="K9" t="str">
        <f>'Full Data'!F56</f>
        <v>Warning</v>
      </c>
      <c r="L9" t="str">
        <f>'Full Data'!H51</f>
        <v>Causes skin irritation
Causes serious eye irritation
May cause respiratory irritation</v>
      </c>
      <c r="M9" t="str">
        <f>'Full Data'!H53</f>
        <v>IR</v>
      </c>
      <c r="N9" t="str">
        <f>'Full Data'!H54</f>
        <v>https://www.fishersci.com/store/msds?partNumber=AC150305000&amp;productDescription=--trichloromethyl-gr&amp;vendorId=VN00032119&amp;keyword=true&amp;countryCode=US&amp;language=en</v>
      </c>
      <c r="O9" t="s">
        <v>178</v>
      </c>
      <c r="P9" t="str">
        <f>'Full Data'!H55</f>
        <v>6-144</v>
      </c>
      <c r="Q9" t="str">
        <f>'Full Data'!H56</f>
        <v>B- 6</v>
      </c>
      <c r="R9" t="str">
        <f>'Full Data'!J51</f>
        <v>g</v>
      </c>
      <c r="S9" t="s">
        <v>2</v>
      </c>
      <c r="T9" t="s">
        <v>2</v>
      </c>
      <c r="U9">
        <f>'Full Data'!J52</f>
        <v>100</v>
      </c>
      <c r="V9" t="str">
        <f>'Full Data'!J53</f>
        <v>Keep in a dry, cool and well-ventilated place. Keep container tightly closed. Incompatible Materials. Acids. Strong oxidizing agents. Acid anhydrides. Acid chlorides. Metals.</v>
      </c>
      <c r="W9" t="s">
        <v>2</v>
      </c>
    </row>
    <row r="10" spans="1:23" x14ac:dyDescent="0.3">
      <c r="A10" t="str">
        <f>'Full Data'!F58</f>
        <v>1,1,1-Trichloro-2-methyl-2-propanol hemihydrate</v>
      </c>
      <c r="B10" t="str">
        <f>'Full Data'!J62</f>
        <v>C4H7Cl3O.0.5H2O</v>
      </c>
      <c r="C10" t="str">
        <f>'Full Data'!F59</f>
        <v>beta,beta,beta-Trichloro-tert-butyl alcohol</v>
      </c>
      <c r="D10" t="s">
        <v>2</v>
      </c>
      <c r="E10" t="str">
        <f>'Full Data'!F60</f>
        <v>Eastman Kodak</v>
      </c>
      <c r="F10" t="s">
        <v>2</v>
      </c>
      <c r="G10" t="s">
        <v>2</v>
      </c>
      <c r="H10" t="str">
        <f>'Full Data'!F61</f>
        <v>6001-64-5</v>
      </c>
      <c r="I10" t="str">
        <f>'Full Data'!F62</f>
        <v>Organic compound</v>
      </c>
      <c r="J10" t="s">
        <v>2</v>
      </c>
      <c r="K10" t="str">
        <f>'Full Data'!F63</f>
        <v>Warning</v>
      </c>
      <c r="L10" t="str">
        <f>'Full Data'!H58</f>
        <v>Causes skin irritation
Causes serious eye irritation
May cause respiratory irritation</v>
      </c>
      <c r="M10" t="str">
        <f>'Full Data'!H60</f>
        <v>IR</v>
      </c>
      <c r="N10" t="str">
        <f>'Full Data'!H61</f>
        <v>https://www.fishersci.com/store/msds?partNumber=AC150305000&amp;productDescription=--trichloromethyl-gr&amp;vendorId=VN00032119&amp;keyword=true&amp;countryCode=US&amp;language=en</v>
      </c>
      <c r="O10" t="s">
        <v>178</v>
      </c>
      <c r="P10" t="str">
        <f>'Full Data'!H62</f>
        <v>6-144</v>
      </c>
      <c r="Q10" t="str">
        <f>'Full Data'!H63</f>
        <v>B- 6</v>
      </c>
      <c r="R10" t="str">
        <f>'Full Data'!J58</f>
        <v>g</v>
      </c>
      <c r="S10" t="s">
        <v>2</v>
      </c>
      <c r="T10" t="s">
        <v>2</v>
      </c>
      <c r="U10">
        <f>'Full Data'!J59</f>
        <v>100</v>
      </c>
      <c r="V10" t="str">
        <f>'Full Data'!J60</f>
        <v>Keep in a dry, cool and well-ventilated place. Keep container tightly closed. Incompatible Materials. Acids. Strong oxidizing agents. Acid anhydrides. Acid chlorides. Metals.</v>
      </c>
      <c r="W10" t="s">
        <v>2</v>
      </c>
    </row>
    <row r="11" spans="1:23" x14ac:dyDescent="0.3">
      <c r="A11" t="str">
        <f>'Full Data'!F65</f>
        <v>1,1,1-Trichloro-2-methyl-2-propanol hemihydrate</v>
      </c>
      <c r="B11" t="str">
        <f>'Full Data'!J69</f>
        <v>C4H7Cl3O.0.5H2O</v>
      </c>
      <c r="C11" t="str">
        <f>'Full Data'!F66</f>
        <v>beta,beta,beta-Trichloro-tert-butyl alcohol</v>
      </c>
      <c r="D11" t="s">
        <v>2</v>
      </c>
      <c r="E11" t="str">
        <f>'Full Data'!F67</f>
        <v>Eastman Kodak</v>
      </c>
      <c r="F11" t="s">
        <v>2</v>
      </c>
      <c r="G11" t="s">
        <v>2</v>
      </c>
      <c r="H11" t="str">
        <f>'Full Data'!F68</f>
        <v>6001-64-5</v>
      </c>
      <c r="I11" t="str">
        <f>'Full Data'!F69</f>
        <v>Organic compound</v>
      </c>
      <c r="J11" t="s">
        <v>2</v>
      </c>
      <c r="K11" t="str">
        <f>'Full Data'!F70</f>
        <v>Warning</v>
      </c>
      <c r="L11" t="str">
        <f>'Full Data'!H65</f>
        <v>Causes skin irritation
Causes serious eye irritation
May cause respiratory irritation</v>
      </c>
      <c r="M11" t="str">
        <f>'Full Data'!H67</f>
        <v>IR</v>
      </c>
      <c r="N11" t="str">
        <f>'Full Data'!H68</f>
        <v>https://www.fishersci.com/store/msds?partNumber=AC150305000&amp;productDescription=--trichloromethyl-gr&amp;vendorId=VN00032119&amp;keyword=true&amp;countryCode=US&amp;language=en</v>
      </c>
      <c r="O11" t="s">
        <v>178</v>
      </c>
      <c r="P11" t="str">
        <f>'Full Data'!H69</f>
        <v>6-144</v>
      </c>
      <c r="Q11" t="str">
        <f>'Full Data'!H70</f>
        <v>B- 6</v>
      </c>
      <c r="R11" t="str">
        <f>'Full Data'!J65</f>
        <v>g</v>
      </c>
      <c r="S11" t="s">
        <v>2</v>
      </c>
      <c r="T11" t="s">
        <v>2</v>
      </c>
      <c r="U11">
        <f>'Full Data'!J66</f>
        <v>100</v>
      </c>
      <c r="V11" t="str">
        <f>'Full Data'!J67</f>
        <v>Keep in a dry, cool and well-ventilated place. Keep container tightly closed. Incompatible Materials. Acids. Strong oxidizing agents. Acid anhydrides. Acid chlorides. Metals.</v>
      </c>
      <c r="W11" t="s">
        <v>2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Data</vt:lpstr>
      <vt:lpstr>Success Report</vt:lpstr>
      <vt:lpstr>Export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2025-11-26T20:31:01Z</dcterms:created>
  <dcterms:modified xsi:type="dcterms:W3CDTF">2025-11-27T14:54:23Z</dcterms:modified>
  <cp:category/>
</cp:coreProperties>
</file>